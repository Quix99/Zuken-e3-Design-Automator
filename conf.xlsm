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zuken_on_steroids\zuken-automator\project_configs\"/>
    </mc:Choice>
  </mc:AlternateContent>
  <xr:revisionPtr revIDLastSave="0" documentId="8_{58A7D48D-2C30-4DE0-9B5A-E3A66135E488}" xr6:coauthVersionLast="47" xr6:coauthVersionMax="47" xr10:uidLastSave="{00000000-0000-0000-0000-000000000000}"/>
  <bookViews>
    <workbookView xWindow="57480" yWindow="-120" windowWidth="29040" windowHeight="15840" xr2:uid="{CDEEFE30-D4C9-426F-A356-70932B16C7F9}"/>
  </bookViews>
  <sheets>
    <sheet name="Run" sheetId="11" r:id="rId1"/>
    <sheet name="FUNCTIONAL_GROUP_1 Frontend" sheetId="1" r:id="rId2"/>
    <sheet name="FUNCTIONAL_GROUP_2 Frontend" sheetId="8" r:id="rId3"/>
    <sheet name="Item Positions" sheetId="7" r:id="rId4"/>
    <sheet name="json_prep" sheetId="5" r:id="rId5"/>
    <sheet name="FUNCTIONAL_GROUP_1 Backend" sheetId="3" r:id="rId6"/>
    <sheet name="FUNCTIONAL_GROUP_2 Backend" sheetId="12" r:id="rId7"/>
    <sheet name="Readme" sheetId="6" r:id="rId8"/>
  </sheets>
  <functionGroups builtInGroupCount="19"/>
  <definedNames>
    <definedName name="ArticleBox">#REF!</definedName>
    <definedName name="ArticleBox2">#REF!</definedName>
    <definedName name="DynamischeDropdown">INDIRECT("MeineListe[G]")</definedName>
    <definedName name="IPAdresse">#REF!</definedName>
    <definedName name="Kits">#REF!</definedName>
    <definedName name="ModulBezeichnungen">#REF!</definedName>
    <definedName name="Modu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3" i="5" l="1"/>
  <c r="E144" i="5" l="1"/>
  <c r="F130" i="5" l="1"/>
  <c r="E31" i="5"/>
  <c r="F109" i="5"/>
  <c r="F108" i="5"/>
  <c r="F106" i="5"/>
  <c r="F105" i="5"/>
  <c r="F99" i="5"/>
  <c r="E48" i="5"/>
  <c r="E47" i="5"/>
  <c r="F96" i="5"/>
  <c r="F95" i="5"/>
  <c r="I10" i="7"/>
  <c r="F89" i="5" l="1"/>
  <c r="F88" i="5"/>
  <c r="F86" i="5"/>
  <c r="F79" i="5"/>
  <c r="F78" i="5"/>
  <c r="F76" i="5"/>
  <c r="N38" i="1"/>
  <c r="F69" i="5"/>
  <c r="F66" i="5"/>
  <c r="F54" i="5"/>
  <c r="F59" i="5"/>
  <c r="F56" i="5"/>
  <c r="F104" i="5" l="1"/>
  <c r="F94" i="5"/>
  <c r="F84" i="5"/>
  <c r="F307" i="5"/>
  <c r="F303" i="5"/>
  <c r="F299" i="5"/>
  <c r="F295" i="5"/>
  <c r="E292" i="5"/>
  <c r="E288" i="5"/>
  <c r="E284" i="5"/>
  <c r="E280" i="5"/>
  <c r="F275" i="5"/>
  <c r="F271" i="5"/>
  <c r="F267" i="5"/>
  <c r="F263" i="5"/>
  <c r="F259" i="5"/>
  <c r="F255" i="5"/>
  <c r="F251" i="5"/>
  <c r="F247" i="5"/>
  <c r="E244" i="5"/>
  <c r="E240" i="5"/>
  <c r="E236" i="5"/>
  <c r="E232" i="5"/>
  <c r="F227" i="5"/>
  <c r="F223" i="5"/>
  <c r="F219" i="5"/>
  <c r="F215" i="5"/>
  <c r="F211" i="5"/>
  <c r="F207" i="5"/>
  <c r="F203" i="5"/>
  <c r="F199" i="5"/>
  <c r="E196" i="5"/>
  <c r="E192" i="5"/>
  <c r="E188" i="5"/>
  <c r="E184" i="5"/>
  <c r="F179" i="5"/>
  <c r="F175" i="5"/>
  <c r="F171" i="5"/>
  <c r="F167" i="5"/>
  <c r="F163" i="5"/>
  <c r="F159" i="5"/>
  <c r="F155" i="5"/>
  <c r="F151" i="5"/>
  <c r="E148" i="5"/>
  <c r="E140" i="5"/>
  <c r="E136" i="5"/>
  <c r="F126" i="5"/>
  <c r="F122" i="5"/>
  <c r="F118" i="5"/>
  <c r="E43" i="5"/>
  <c r="E39" i="5"/>
  <c r="E29" i="5"/>
  <c r="E25" i="5"/>
  <c r="E21" i="5"/>
  <c r="Z35" i="1"/>
  <c r="F74" i="5" s="1"/>
  <c r="AG47" i="1"/>
  <c r="F41" i="5" s="1"/>
  <c r="R47" i="1"/>
  <c r="W24" i="1"/>
  <c r="T31" i="1"/>
  <c r="L28" i="1"/>
  <c r="F64" i="5" s="1"/>
  <c r="K32" i="1"/>
  <c r="F27" i="5" s="1"/>
  <c r="F16" i="5"/>
  <c r="F10" i="5"/>
  <c r="F9" i="5"/>
  <c r="F49" i="5" l="1"/>
  <c r="F45" i="5"/>
  <c r="F37" i="5"/>
</calcChain>
</file>

<file path=xl/sharedStrings.xml><?xml version="1.0" encoding="utf-8"?>
<sst xmlns="http://schemas.openxmlformats.org/spreadsheetml/2006/main" count="964" uniqueCount="203">
  <si>
    <t>This is a project planning template for Zuken Automator</t>
  </si>
  <si>
    <t>Zuken Automator has 2 workflows:</t>
  </si>
  <si>
    <t>Design Workflow</t>
  </si>
  <si>
    <t>User Workflow</t>
  </si>
  <si>
    <t>Zuken Automator consists of 2 components:</t>
  </si>
  <si>
    <r>
      <t xml:space="preserve">The </t>
    </r>
    <r>
      <rPr>
        <b/>
        <sz val="11"/>
        <color theme="1"/>
        <rFont val="Aptos Narrow"/>
        <family val="2"/>
        <scheme val="minor"/>
      </rPr>
      <t xml:space="preserve">project planning excel file </t>
    </r>
    <r>
      <rPr>
        <sz val="11"/>
        <color theme="1"/>
        <rFont val="Aptos Narrow"/>
        <family val="2"/>
        <scheme val="minor"/>
      </rPr>
      <t>serves as a graphical user interface for project planning. Here, the user can configure components, cables and their positioning for the electrical drawing</t>
    </r>
  </si>
  <si>
    <r>
      <t xml:space="preserve">The </t>
    </r>
    <r>
      <rPr>
        <b/>
        <sz val="11"/>
        <color theme="1"/>
        <rFont val="Aptos Narrow"/>
        <family val="2"/>
        <scheme val="minor"/>
      </rPr>
      <t>python backend</t>
    </r>
    <r>
      <rPr>
        <sz val="11"/>
        <color theme="1"/>
        <rFont val="Aptos Narrow"/>
        <family val="2"/>
        <scheme val="minor"/>
      </rPr>
      <t xml:space="preserve"> (main.py, config2json.py, json2json.py and json2zuken.py) creates a Zuken drawing out of the config informations. It reads config information from the project planning excel file, processes it and translates the processed information into zuken API commands, which are executed on a zuken project.</t>
    </r>
  </si>
  <si>
    <t xml:space="preserve">The design workflow defines the whole scope of projects to be generated </t>
  </si>
  <si>
    <t>The user workflow is the interaction with the project planning excel file for project configuration and Zuken Drawing Generation</t>
  </si>
  <si>
    <t>1. Create 2 Excel Sheets for each functional group of your design, one for user interaction "frontend", one for algorithms on your data "backend"</t>
  </si>
  <si>
    <t>xPos</t>
  </si>
  <si>
    <t>yPos</t>
  </si>
  <si>
    <t>3. In the "frontend" excel sheet create dropdown fields, boxes representing Zuken Parts and connections for a visual representation of a configurable project architecture</t>
  </si>
  <si>
    <t>4. in the "positions" excel sheet, define the positions on the Zuken sheet for parts</t>
  </si>
  <si>
    <t>5. in the "json_prep" sheet define the hierarchichal structure of the project and fit parts, connections and attributes accordingly in.</t>
  </si>
  <si>
    <t>Design Workflow Steps</t>
  </si>
  <si>
    <t>6. in the json2json.py file, add algorithms for programmatically enriching the project information given by the project planning excel file</t>
  </si>
  <si>
    <t>7. in the json2zuken.py file add algorithms for naming conventions during the zuken project creation or add more api calls for additional drawing capabilities</t>
  </si>
  <si>
    <t>User Workflow Steps</t>
  </si>
  <si>
    <t>1. In each "Functional Group Frontend" excel sheet select project configurations</t>
  </si>
  <si>
    <t>2. in the "Run" Excel Sheet press "Open Zuken" to open the empty.e3s Zuken project, wait until open</t>
  </si>
  <si>
    <t>3. in the "Run" Excel Sheet press "Generate" for generating the drawing in Zuken</t>
  </si>
  <si>
    <t>Project</t>
  </si>
  <si>
    <t>Responsible</t>
  </si>
  <si>
    <t>Mr. Bean</t>
  </si>
  <si>
    <t>Project XY</t>
  </si>
  <si>
    <t>+</t>
  </si>
  <si>
    <t>Flavor A</t>
  </si>
  <si>
    <t>Flavor B</t>
  </si>
  <si>
    <t>Flavor C</t>
  </si>
  <si>
    <t>Flavor D</t>
  </si>
  <si>
    <t>Flavor E</t>
  </si>
  <si>
    <t>Flavor F</t>
  </si>
  <si>
    <t>Device 1</t>
  </si>
  <si>
    <t>Device 2</t>
  </si>
  <si>
    <t>Device 3</t>
  </si>
  <si>
    <t>Device 4</t>
  </si>
  <si>
    <t>Device 5</t>
  </si>
  <si>
    <t>Device 6</t>
  </si>
  <si>
    <t>Device 7</t>
  </si>
  <si>
    <t>config2json</t>
  </si>
  <si>
    <t>json2json</t>
  </si>
  <si>
    <t>json2zuken</t>
  </si>
  <si>
    <t>This table determines, how Objects described in JSON Hierarchy are linked to the frontends Functional_Group_1_Frontend, Functional_Group_2_Frontend, Functional_Group_3_Frontendd</t>
  </si>
  <si>
    <t>Key</t>
  </si>
  <si>
    <t>Value</t>
  </si>
  <si>
    <t>Project Attributes</t>
  </si>
  <si>
    <t>Module Path</t>
  </si>
  <si>
    <t>Sheet Path</t>
  </si>
  <si>
    <t>Project Item</t>
  </si>
  <si>
    <t>Functional Group Attributes</t>
  </si>
  <si>
    <t>Functional Group Item</t>
  </si>
  <si>
    <t>FUNCTIONAL_GROUP_1</t>
  </si>
  <si>
    <t>Group Attributes</t>
  </si>
  <si>
    <t>Type</t>
  </si>
  <si>
    <t>Type 1</t>
  </si>
  <si>
    <t>Type 2</t>
  </si>
  <si>
    <t>Type 3</t>
  </si>
  <si>
    <t>Group Item</t>
  </si>
  <si>
    <t>Group_1</t>
  </si>
  <si>
    <t>Sheet Item</t>
  </si>
  <si>
    <t>Element Attributes</t>
  </si>
  <si>
    <t xml:space="preserve"> 1.0</t>
  </si>
  <si>
    <t xml:space="preserve"> 2.0</t>
  </si>
  <si>
    <t xml:space="preserve"> 3.0</t>
  </si>
  <si>
    <t xml:space="preserve"> 4.0</t>
  </si>
  <si>
    <t xml:space="preserve"> 5.0</t>
  </si>
  <si>
    <t xml:space="preserve"> 9.1</t>
  </si>
  <si>
    <t xml:space="preserve"> 9.2</t>
  </si>
  <si>
    <t xml:space="preserve"> 9.3</t>
  </si>
  <si>
    <t xml:space="preserve"> 9.4</t>
  </si>
  <si>
    <t>Set</t>
  </si>
  <si>
    <t>Element Item</t>
  </si>
  <si>
    <t>Group_2</t>
  </si>
  <si>
    <t>FUNCTIONAL_GROUP_2</t>
  </si>
  <si>
    <t>Text</t>
  </si>
  <si>
    <t xml:space="preserve"> 2.1</t>
  </si>
  <si>
    <t xml:space="preserve"> 1.9</t>
  </si>
  <si>
    <t>Connection</t>
  </si>
  <si>
    <t xml:space="preserve"> 1.10</t>
  </si>
  <si>
    <t xml:space="preserve"> 1.11</t>
  </si>
  <si>
    <t xml:space="preserve"> 1.12</t>
  </si>
  <si>
    <t>Device</t>
  </si>
  <si>
    <t xml:space="preserve"> 2.2</t>
  </si>
  <si>
    <t xml:space="preserve"> 2.3</t>
  </si>
  <si>
    <t xml:space="preserve"> 2.4</t>
  </si>
  <si>
    <t xml:space="preserve"> 3.1</t>
  </si>
  <si>
    <t xml:space="preserve"> 3.2</t>
  </si>
  <si>
    <t xml:space="preserve"> 3.3</t>
  </si>
  <si>
    <t xml:space="preserve"> 3.4</t>
  </si>
  <si>
    <t xml:space="preserve"> 3.5</t>
  </si>
  <si>
    <t xml:space="preserve"> 3.6</t>
  </si>
  <si>
    <t xml:space="preserve"> 3.7</t>
  </si>
  <si>
    <t xml:space="preserve"> 3.8</t>
  </si>
  <si>
    <t xml:space="preserve"> 4.1</t>
  </si>
  <si>
    <t xml:space="preserve"> 4.2</t>
  </si>
  <si>
    <t xml:space="preserve"> 4.3</t>
  </si>
  <si>
    <t xml:space="preserve"> 4.4</t>
  </si>
  <si>
    <t xml:space="preserve"> 5.1</t>
  </si>
  <si>
    <t xml:space="preserve"> 5.2</t>
  </si>
  <si>
    <t xml:space="preserve"> 5.3</t>
  </si>
  <si>
    <t xml:space="preserve"> 5.4</t>
  </si>
  <si>
    <t xml:space="preserve"> 5.5</t>
  </si>
  <si>
    <t xml:space="preserve"> 5.6</t>
  </si>
  <si>
    <t xml:space="preserve"> 5.7</t>
  </si>
  <si>
    <t xml:space="preserve"> 5.8</t>
  </si>
  <si>
    <t xml:space="preserve"> 6.1</t>
  </si>
  <si>
    <t xml:space="preserve"> 6.2</t>
  </si>
  <si>
    <t xml:space="preserve"> 6.3</t>
  </si>
  <si>
    <t xml:space="preserve"> 6.4</t>
  </si>
  <si>
    <t xml:space="preserve"> 7.1</t>
  </si>
  <si>
    <t xml:space="preserve"> 7.2</t>
  </si>
  <si>
    <t xml:space="preserve"> 7.3</t>
  </si>
  <si>
    <t xml:space="preserve"> 7.4</t>
  </si>
  <si>
    <t xml:space="preserve"> 7.5</t>
  </si>
  <si>
    <t xml:space="preserve"> 7.6</t>
  </si>
  <si>
    <t xml:space="preserve"> 7.7</t>
  </si>
  <si>
    <t xml:space="preserve"> 7.8</t>
  </si>
  <si>
    <t xml:space="preserve"> 8.1</t>
  </si>
  <si>
    <t xml:space="preserve"> 8.2</t>
  </si>
  <si>
    <t xml:space="preserve"> 8.3</t>
  </si>
  <si>
    <t xml:space="preserve"> 8.4</t>
  </si>
  <si>
    <t xml:space="preserve"> 11.1</t>
  </si>
  <si>
    <t xml:space="preserve">Set </t>
  </si>
  <si>
    <t>Tank</t>
  </si>
  <si>
    <t xml:space="preserve">  1.5</t>
  </si>
  <si>
    <t xml:space="preserve"> 1.6</t>
  </si>
  <si>
    <t xml:space="preserve"> 1.7</t>
  </si>
  <si>
    <t xml:space="preserve"> 1.8</t>
  </si>
  <si>
    <t xml:space="preserve"> 1.13</t>
  </si>
  <si>
    <t xml:space="preserve"> 1.14</t>
  </si>
  <si>
    <t xml:space="preserve"> 1.15</t>
  </si>
  <si>
    <t xml:space="preserve"> 1.16</t>
  </si>
  <si>
    <t xml:space="preserve"> 3.13</t>
  </si>
  <si>
    <t xml:space="preserve"> 3.14</t>
  </si>
  <si>
    <t xml:space="preserve"> 3.15</t>
  </si>
  <si>
    <t xml:space="preserve"> 3.16</t>
  </si>
  <si>
    <t xml:space="preserve"> 3.9</t>
  </si>
  <si>
    <t xml:space="preserve"> 3.10</t>
  </si>
  <si>
    <t xml:space="preserve"> 3.11</t>
  </si>
  <si>
    <t xml:space="preserve"> 3.12</t>
  </si>
  <si>
    <t xml:space="preserve"> 5.13</t>
  </si>
  <si>
    <t xml:space="preserve"> 5.14</t>
  </si>
  <si>
    <t xml:space="preserve"> 5.15</t>
  </si>
  <si>
    <t xml:space="preserve"> 5.16</t>
  </si>
  <si>
    <t xml:space="preserve"> 5.9</t>
  </si>
  <si>
    <t xml:space="preserve"> 5.10</t>
  </si>
  <si>
    <t xml:space="preserve"> 5.11</t>
  </si>
  <si>
    <t xml:space="preserve"> 5.12</t>
  </si>
  <si>
    <t xml:space="preserve"> 7.13</t>
  </si>
  <si>
    <t xml:space="preserve"> 7.14</t>
  </si>
  <si>
    <t xml:space="preserve"> 7.15</t>
  </si>
  <si>
    <t xml:space="preserve"> 7.16</t>
  </si>
  <si>
    <t xml:space="preserve"> 6.7</t>
  </si>
  <si>
    <t xml:space="preserve"> 7.9</t>
  </si>
  <si>
    <t xml:space="preserve"> 7.10</t>
  </si>
  <si>
    <t xml:space="preserve"> 7.11</t>
  </si>
  <si>
    <t xml:space="preserve"> 7.12</t>
  </si>
  <si>
    <t xml:space="preserve"> 9.13</t>
  </si>
  <si>
    <t xml:space="preserve"> 9.14</t>
  </si>
  <si>
    <t xml:space="preserve"> 9.15</t>
  </si>
  <si>
    <t xml:space="preserve"> 9.16</t>
  </si>
  <si>
    <t xml:space="preserve"> 9.5</t>
  </si>
  <si>
    <t xml:space="preserve"> 9.6</t>
  </si>
  <si>
    <t xml:space="preserve"> 9.7</t>
  </si>
  <si>
    <t xml:space="preserve"> 9.8</t>
  </si>
  <si>
    <t xml:space="preserve"> 10.1</t>
  </si>
  <si>
    <t xml:space="preserve"> 10.2</t>
  </si>
  <si>
    <t xml:space="preserve"> 12.1</t>
  </si>
  <si>
    <t xml:space="preserve"> 12.2</t>
  </si>
  <si>
    <t xml:space="preserve"> 12.6</t>
  </si>
  <si>
    <t>2. In the "backend" excel sheet note down lists of components which you want to work with. If necessary, add algorithms to narrow down the scope of the components as the user interacts with the functional group sheet. The components should have the same name as their corresponding  zuken .e3p files</t>
  </si>
  <si>
    <t>CON 1 Sheet Item</t>
  </si>
  <si>
    <t>CON 1 Part</t>
  </si>
  <si>
    <t>CON 1 Port</t>
  </si>
  <si>
    <t>CON 2 Sheet Item</t>
  </si>
  <si>
    <t>CON 2 Part</t>
  </si>
  <si>
    <t>CON 2 Port</t>
  </si>
  <si>
    <t>Example Device Ports:</t>
  </si>
  <si>
    <t>C:\zuken_on_steroids\zuken-automator</t>
  </si>
  <si>
    <t>S</t>
  </si>
  <si>
    <t>N</t>
  </si>
  <si>
    <t>W</t>
  </si>
  <si>
    <t>E</t>
  </si>
  <si>
    <t>S2</t>
  </si>
  <si>
    <t xml:space="preserve"> 6.0</t>
  </si>
  <si>
    <t xml:space="preserve"> 7.0</t>
  </si>
  <si>
    <t>Column for Functional Group Keyword</t>
  </si>
  <si>
    <t>Element Type Device</t>
  </si>
  <si>
    <t>Element Type Connection</t>
  </si>
  <si>
    <t>Text Item</t>
  </si>
  <si>
    <t>Text Attributes</t>
  </si>
  <si>
    <t>xOffset</t>
  </si>
  <si>
    <t>yOffset</t>
  </si>
  <si>
    <t>Example Text</t>
  </si>
  <si>
    <t>Text Colour</t>
  </si>
  <si>
    <t>Text Height</t>
  </si>
  <si>
    <t>Project Name</t>
  </si>
  <si>
    <t>External Circuit</t>
  </si>
  <si>
    <t>Cooling Circuit Label</t>
  </si>
  <si>
    <t>Heat Exchanger</t>
  </si>
  <si>
    <t>Pump</t>
  </si>
  <si>
    <t>Empty Position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</si>
</sst>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b/>
      <sz val="11"/>
      <color theme="1"/>
      <name val="Aptos Narrow"/>
      <family val="2"/>
      <scheme val="minor"/>
    </font>
    <font>
      <sz val="16"/>
      <color theme="1"/>
      <name val="Aptos Narrow"/>
      <family val="2"/>
      <scheme val="minor"/>
    </font>
    <font>
      <b/>
      <sz val="16"/>
      <color theme="1"/>
      <name val="Aptos Narrow"/>
      <family val="2"/>
      <scheme val="minor"/>
    </font>
    <font>
      <b/>
      <sz val="18"/>
      <color theme="1"/>
      <name val="Aptos Narrow"/>
      <family val="2"/>
      <scheme val="minor"/>
    </font>
    <font>
      <sz val="18"/>
      <color theme="1"/>
      <name val="Aptos Narrow"/>
      <family val="2"/>
      <scheme val="minor"/>
    </font>
    <font>
      <b/>
      <sz val="14"/>
      <color theme="1"/>
      <name val="Aptos Narrow"/>
      <family val="2"/>
      <scheme val="minor"/>
    </font>
    <font>
      <sz val="14"/>
      <color theme="1"/>
      <name val="Aptos Narrow"/>
      <family val="2"/>
      <scheme val="minor"/>
    </font>
    <font>
      <sz val="24"/>
      <color rgb="FF000000"/>
      <name val="Aptos Narrow"/>
      <family val="2"/>
    </font>
    <font>
      <sz val="48"/>
      <color rgb="FF000000"/>
      <name val="Aptos Narrow"/>
      <family val="2"/>
    </font>
    <font>
      <i/>
      <sz val="11"/>
      <color theme="1"/>
      <name val="Aptos Narrow"/>
      <family val="2"/>
      <scheme val="minor"/>
    </font>
    <font>
      <b/>
      <sz val="11"/>
      <color theme="8" tint="0.39997558519241921"/>
      <name val="Aptos Narrow"/>
      <family val="2"/>
      <scheme val="minor"/>
    </font>
  </fonts>
  <fills count="10">
    <fill>
      <patternFill patternType="none"/>
    </fill>
    <fill>
      <patternFill patternType="gray125"/>
    </fill>
    <fill>
      <patternFill patternType="solid">
        <fgColor theme="1"/>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rgb="FFDAF2D0"/>
        <bgColor indexed="64"/>
      </patternFill>
    </fill>
    <fill>
      <patternFill patternType="solid">
        <fgColor rgb="FF393939"/>
        <bgColor indexed="64"/>
      </patternFill>
    </fill>
    <fill>
      <patternFill patternType="solid">
        <fgColor rgb="FFD0D0D0"/>
        <bgColor indexed="64"/>
      </patternFill>
    </fill>
    <fill>
      <patternFill patternType="solid">
        <fgColor theme="5" tint="0.3999755851924192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9">
    <xf numFmtId="0" fontId="0" fillId="0" borderId="0" xfId="0"/>
    <xf numFmtId="0" fontId="0" fillId="0" borderId="0" xfId="0" applyAlignment="1">
      <alignment wrapText="1"/>
    </xf>
    <xf numFmtId="0" fontId="0" fillId="0" borderId="0" xfId="0" applyAlignment="1">
      <alignment horizontal="left" vertical="top" wrapText="1"/>
    </xf>
    <xf numFmtId="0" fontId="0" fillId="0" borderId="0" xfId="0" applyAlignment="1">
      <alignment horizontal="left" vertical="top"/>
    </xf>
    <xf numFmtId="0" fontId="4" fillId="0" borderId="0" xfId="0" applyFont="1" applyAlignment="1">
      <alignment horizontal="left" vertical="top" wrapText="1"/>
    </xf>
    <xf numFmtId="0" fontId="4" fillId="0" borderId="0" xfId="0" applyFont="1" applyAlignment="1">
      <alignment horizontal="left" vertical="top"/>
    </xf>
    <xf numFmtId="0" fontId="1"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vertical="center"/>
    </xf>
    <xf numFmtId="0" fontId="0" fillId="2" borderId="0" xfId="0" applyFill="1"/>
    <xf numFmtId="0" fontId="0" fillId="6" borderId="0" xfId="0" applyFill="1"/>
    <xf numFmtId="0" fontId="7" fillId="0" borderId="0" xfId="0" applyFont="1" applyAlignment="1">
      <alignment vertical="center"/>
    </xf>
    <xf numFmtId="0" fontId="2" fillId="6" borderId="0" xfId="0" applyFont="1" applyFill="1"/>
    <xf numFmtId="0" fontId="0" fillId="9" borderId="0" xfId="0" applyFill="1"/>
    <xf numFmtId="0" fontId="0" fillId="0" borderId="0" xfId="0">
      <extLst>
        <ext xmlns:xfpb="http://schemas.microsoft.com/office/spreadsheetml/2022/featurepropertybag" uri="{C7286773-470A-42A8-94C5-96B5CB345126}">
          <xfpb:xfComplement i="0"/>
        </ext>
      </extLst>
    </xf>
    <xf numFmtId="2" fontId="0" fillId="0" borderId="0" xfId="0" applyNumberFormat="1"/>
    <xf numFmtId="16" fontId="0" fillId="0" borderId="0" xfId="0" applyNumberFormat="1"/>
    <xf numFmtId="0" fontId="0" fillId="0" borderId="0" xfId="0" applyAlignment="1">
      <alignment horizontal="right"/>
    </xf>
    <xf numFmtId="14" fontId="0" fillId="0" borderId="0" xfId="0" applyNumberFormat="1"/>
    <xf numFmtId="0" fontId="0" fillId="0" borderId="0" xfId="0" applyAlignment="1">
      <alignment horizontal="left" wrapText="1"/>
    </xf>
    <xf numFmtId="0" fontId="10" fillId="0" borderId="0" xfId="0" applyFont="1"/>
    <xf numFmtId="0" fontId="11" fillId="0" borderId="0" xfId="0" applyFont="1"/>
    <xf numFmtId="0" fontId="2" fillId="4" borderId="0" xfId="0" applyFont="1" applyFill="1" applyAlignment="1">
      <alignment horizontal="center"/>
    </xf>
    <xf numFmtId="0" fontId="2" fillId="5" borderId="0" xfId="0" applyFont="1" applyFill="1" applyAlignment="1">
      <alignment horizontal="center"/>
    </xf>
    <xf numFmtId="0" fontId="7" fillId="5" borderId="0" xfId="0" applyFont="1" applyFill="1" applyAlignment="1">
      <alignment horizontal="center" vertical="center"/>
    </xf>
    <xf numFmtId="0" fontId="2" fillId="3" borderId="0" xfId="0" applyFont="1" applyFill="1" applyAlignment="1">
      <alignment horizontal="center" vertical="center"/>
    </xf>
    <xf numFmtId="0" fontId="2" fillId="4" borderId="0" xfId="0" applyFont="1" applyFill="1" applyAlignment="1">
      <alignment horizontal="center" vertical="center"/>
    </xf>
    <xf numFmtId="0" fontId="5" fillId="5" borderId="0" xfId="0" applyFont="1" applyFill="1" applyAlignment="1">
      <alignment horizontal="center"/>
    </xf>
    <xf numFmtId="0" fontId="5" fillId="0" borderId="0" xfId="0" applyFont="1" applyAlignment="1">
      <alignment horizont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2" fillId="8" borderId="0" xfId="0" applyFont="1" applyFill="1" applyAlignment="1">
      <alignment horizontal="center"/>
    </xf>
    <xf numFmtId="0" fontId="2" fillId="6" borderId="0" xfId="0" applyFont="1" applyFill="1" applyAlignment="1">
      <alignment horizontal="center"/>
    </xf>
    <xf numFmtId="0" fontId="0" fillId="2" borderId="0" xfId="0" applyFill="1" applyAlignment="1">
      <alignment horizontal="center"/>
    </xf>
    <xf numFmtId="0" fontId="0" fillId="7" borderId="0" xfId="0" applyFill="1" applyAlignment="1">
      <alignment horizontal="center"/>
    </xf>
    <xf numFmtId="0" fontId="0" fillId="6" borderId="0" xfId="0" applyFill="1" applyAlignment="1">
      <alignment horizontal="center"/>
    </xf>
    <xf numFmtId="0" fontId="2" fillId="9" borderId="0" xfId="0" applyFont="1" applyFill="1" applyAlignment="1">
      <alignment horizontal="center" vertical="center"/>
    </xf>
    <xf numFmtId="0" fontId="2" fillId="7" borderId="0" xfId="0" applyFont="1" applyFill="1" applyAlignment="1">
      <alignment horizontal="center"/>
    </xf>
    <xf numFmtId="0" fontId="2" fillId="6" borderId="1" xfId="0" applyFont="1" applyFill="1" applyBorder="1" applyAlignment="1">
      <alignment horizontal="center"/>
    </xf>
    <xf numFmtId="0" fontId="2" fillId="8" borderId="1" xfId="0" applyFont="1" applyFill="1" applyBorder="1" applyAlignment="1">
      <alignment horizontal="center"/>
    </xf>
    <xf numFmtId="0" fontId="4" fillId="0" borderId="0" xfId="0" applyFont="1" applyAlignment="1">
      <alignment horizontal="center" vertical="top" wrapText="1"/>
    </xf>
    <xf numFmtId="0" fontId="0" fillId="0" borderId="0" xfId="0" applyAlignment="1">
      <alignment horizontal="left" vertical="top" wrapText="1"/>
    </xf>
    <xf numFmtId="0" fontId="1" fillId="0" borderId="0" xfId="0" applyFont="1" applyAlignment="1">
      <alignment horizontal="left" vertical="top" wrapText="1"/>
    </xf>
    <xf numFmtId="0" fontId="6" fillId="0" borderId="0" xfId="0" applyFont="1" applyAlignment="1">
      <alignment horizontal="left" vertical="top" wrapText="1"/>
    </xf>
    <xf numFmtId="0" fontId="3" fillId="0" borderId="0" xfId="0" applyFont="1" applyAlignment="1">
      <alignment horizontal="center" vertical="top" wrapText="1"/>
    </xf>
  </cellXfs>
  <cellStyles count="1">
    <cellStyle name="Standard" xfId="0" builtinId="0"/>
  </cellStyles>
  <dxfs count="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685800</xdr:colOff>
          <xdr:row>5</xdr:row>
          <xdr:rowOff>76200</xdr:rowOff>
        </xdr:from>
        <xdr:to>
          <xdr:col>7</xdr:col>
          <xdr:colOff>45720</xdr:colOff>
          <xdr:row>11</xdr:row>
          <xdr:rowOff>137160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txBody>
            <a:bodyPr vertOverflow="clip" wrap="square" lIns="82296" tIns="96012" rIns="82296" bIns="96012" anchor="ctr" upright="1"/>
            <a:lstStyle/>
            <a:p>
              <a:pPr algn="ctr" rtl="0">
                <a:defRPr sz="1000"/>
              </a:pPr>
              <a:r>
                <a:rPr lang="de-DE" sz="4800" b="0" i="0" u="none" strike="noStrike" baseline="0">
                  <a:solidFill>
                    <a:srgbClr val="000000"/>
                  </a:solidFill>
                  <a:latin typeface="Aptos Narrow"/>
                </a:rPr>
                <a:t>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746760</xdr:colOff>
          <xdr:row>17</xdr:row>
          <xdr:rowOff>152400</xdr:rowOff>
        </xdr:from>
        <xdr:to>
          <xdr:col>7</xdr:col>
          <xdr:colOff>106680</xdr:colOff>
          <xdr:row>24</xdr:row>
          <xdr:rowOff>30480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w="9525">
              <a:miter lim="800000"/>
              <a:headEnd/>
              <a:tailEnd/>
            </a:ln>
          </xdr:spPr>
          <xdr:txBody>
            <a:bodyPr vertOverflow="clip" wrap="square" lIns="82296" tIns="96012" rIns="82296" bIns="96012" anchor="ctr" upright="1"/>
            <a:lstStyle/>
            <a:p>
              <a:pPr algn="ctr" rtl="0">
                <a:defRPr sz="1000"/>
              </a:pPr>
              <a:r>
                <a:rPr lang="de-DE" sz="4800" b="0" i="0" u="none" strike="noStrike" baseline="0">
                  <a:solidFill>
                    <a:srgbClr val="000000"/>
                  </a:solidFill>
                  <a:latin typeface="Aptos Narrow"/>
                </a:rPr>
                <a:t>Open Zuken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152400</xdr:colOff>
          <xdr:row>5</xdr:row>
          <xdr:rowOff>15240</xdr:rowOff>
        </xdr:from>
        <xdr:to>
          <xdr:col>48</xdr:col>
          <xdr:colOff>129540</xdr:colOff>
          <xdr:row>8</xdr:row>
          <xdr:rowOff>53340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400" b="0" i="0" u="none" strike="noStrike" baseline="0">
                  <a:solidFill>
                    <a:srgbClr val="000000"/>
                  </a:solidFill>
                  <a:latin typeface="Aptos Narrow"/>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22860</xdr:rowOff>
        </xdr:from>
        <xdr:to>
          <xdr:col>58</xdr:col>
          <xdr:colOff>76200</xdr:colOff>
          <xdr:row>8</xdr:row>
          <xdr:rowOff>60960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400" b="0" i="0" u="none" strike="noStrike" baseline="0">
                  <a:solidFill>
                    <a:srgbClr val="000000"/>
                  </a:solidFill>
                  <a:latin typeface="Aptos Narrow"/>
                </a:rPr>
                <a:t>Clear</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46FE7-F8F4-4490-8396-068ACF16CFD8}">
  <sheetPr codeName="Tabelle11"/>
  <dimension ref="A1:N14"/>
  <sheetViews>
    <sheetView tabSelected="1" workbookViewId="0">
      <selection activeCell="B19" sqref="B19"/>
    </sheetView>
  </sheetViews>
  <sheetFormatPr baseColWidth="10" defaultRowHeight="14.4" x14ac:dyDescent="0.3"/>
  <cols>
    <col min="10" max="10" width="23.6640625" customWidth="1"/>
  </cols>
  <sheetData>
    <row r="1" spans="1:14" x14ac:dyDescent="0.3">
      <c r="A1" t="s">
        <v>179</v>
      </c>
    </row>
    <row r="12" spans="1:14" x14ac:dyDescent="0.3">
      <c r="J12" t="s">
        <v>52</v>
      </c>
      <c r="K12" s="14" t="b">
        <v>1</v>
      </c>
      <c r="M12" t="s">
        <v>40</v>
      </c>
      <c r="N12" s="14" t="b">
        <v>1</v>
      </c>
    </row>
    <row r="13" spans="1:14" x14ac:dyDescent="0.3">
      <c r="J13" t="s">
        <v>74</v>
      </c>
      <c r="K13" s="14" t="b">
        <v>1</v>
      </c>
      <c r="M13" t="s">
        <v>41</v>
      </c>
      <c r="N13" s="14" t="b">
        <v>1</v>
      </c>
    </row>
    <row r="14" spans="1:14" x14ac:dyDescent="0.3">
      <c r="M14" t="s">
        <v>42</v>
      </c>
      <c r="N14" s="14" t="b">
        <v>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_xludf.Run">
                <anchor moveWithCells="1" sizeWithCells="1">
                  <from>
                    <xdr:col>1</xdr:col>
                    <xdr:colOff>685800</xdr:colOff>
                    <xdr:row>5</xdr:row>
                    <xdr:rowOff>76200</xdr:rowOff>
                  </from>
                  <to>
                    <xdr:col>7</xdr:col>
                    <xdr:colOff>45720</xdr:colOff>
                    <xdr:row>11</xdr:row>
                    <xdr:rowOff>137160</xdr:rowOff>
                  </to>
                </anchor>
              </controlPr>
            </control>
          </mc:Choice>
        </mc:AlternateContent>
        <mc:AlternateContent xmlns:mc="http://schemas.openxmlformats.org/markup-compatibility/2006">
          <mc:Choice Requires="x14">
            <control shapeId="11266" r:id="rId4" name="Button 2">
              <controlPr defaultSize="0" print="0" autoFill="0" autoPict="0" macro="[0]!OpenZuken">
                <anchor moveWithCells="1" sizeWithCells="1">
                  <from>
                    <xdr:col>1</xdr:col>
                    <xdr:colOff>746760</xdr:colOff>
                    <xdr:row>17</xdr:row>
                    <xdr:rowOff>152400</xdr:rowOff>
                  </from>
                  <to>
                    <xdr:col>7</xdr:col>
                    <xdr:colOff>106680</xdr:colOff>
                    <xdr:row>24</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12109-6932-4F90-9A69-656401345922}">
  <sheetPr codeName="Tabelle2"/>
  <dimension ref="E5:BF60"/>
  <sheetViews>
    <sheetView topLeftCell="A8" zoomScale="65" zoomScaleNormal="100" workbookViewId="0">
      <selection activeCell="T31" sqref="T31"/>
    </sheetView>
  </sheetViews>
  <sheetFormatPr baseColWidth="10" defaultRowHeight="14.4" x14ac:dyDescent="0.3"/>
  <cols>
    <col min="1" max="102" width="3" customWidth="1"/>
  </cols>
  <sheetData>
    <row r="5" spans="5:58" ht="23.4" x14ac:dyDescent="0.45">
      <c r="Z5" s="28" t="s">
        <v>22</v>
      </c>
      <c r="AA5" s="28"/>
      <c r="AB5" s="28"/>
      <c r="AC5" s="28"/>
      <c r="AD5" s="28"/>
      <c r="AE5" s="28"/>
      <c r="AF5" s="27" t="s">
        <v>25</v>
      </c>
      <c r="AG5" s="27"/>
      <c r="AH5" s="27"/>
      <c r="AI5" s="27"/>
      <c r="AJ5" s="27"/>
    </row>
    <row r="6" spans="5:58" ht="23.4" x14ac:dyDescent="0.45">
      <c r="Z6" s="28" t="s">
        <v>23</v>
      </c>
      <c r="AA6" s="28"/>
      <c r="AB6" s="28"/>
      <c r="AC6" s="28"/>
      <c r="AD6" s="28"/>
      <c r="AE6" s="28"/>
      <c r="AF6" s="27" t="s">
        <v>24</v>
      </c>
      <c r="AG6" s="27"/>
      <c r="AH6" s="27"/>
      <c r="AI6" s="27"/>
      <c r="AJ6" s="27"/>
      <c r="BA6" s="22" t="s">
        <v>54</v>
      </c>
      <c r="BB6" s="22"/>
      <c r="BC6" s="22"/>
      <c r="BD6" s="23" t="s">
        <v>55</v>
      </c>
      <c r="BE6" s="23"/>
      <c r="BF6" s="23"/>
    </row>
    <row r="7" spans="5:58" x14ac:dyDescent="0.3">
      <c r="E7" s="8"/>
      <c r="S7" s="8"/>
    </row>
    <row r="8" spans="5:58" x14ac:dyDescent="0.3">
      <c r="E8" s="8"/>
      <c r="S8" s="8"/>
    </row>
    <row r="12" spans="5:58" x14ac:dyDescent="0.3">
      <c r="T12" s="25" t="s">
        <v>33</v>
      </c>
      <c r="U12" s="25"/>
      <c r="V12" s="25"/>
      <c r="W12" s="25"/>
      <c r="X12" s="25"/>
    </row>
    <row r="13" spans="5:58" ht="18" x14ac:dyDescent="0.3">
      <c r="T13" s="25"/>
      <c r="U13" s="25"/>
      <c r="V13" s="25"/>
      <c r="W13" s="25"/>
      <c r="X13" s="25"/>
      <c r="AO13" s="11"/>
      <c r="AP13" s="11"/>
      <c r="AQ13" s="11"/>
      <c r="AR13" s="11"/>
      <c r="AS13" s="11"/>
      <c r="AT13" s="11"/>
    </row>
    <row r="14" spans="5:58" ht="18" x14ac:dyDescent="0.3">
      <c r="T14" s="25"/>
      <c r="U14" s="25"/>
      <c r="V14" s="25"/>
      <c r="W14" s="25"/>
      <c r="X14" s="25"/>
      <c r="AO14" s="11"/>
      <c r="AP14" s="11"/>
      <c r="AQ14" s="11"/>
      <c r="AR14" s="11"/>
      <c r="AS14" s="11"/>
      <c r="AT14" s="11"/>
    </row>
    <row r="15" spans="5:58" x14ac:dyDescent="0.3">
      <c r="T15" s="25"/>
      <c r="U15" s="25"/>
      <c r="V15" s="25"/>
      <c r="W15" s="25"/>
      <c r="X15" s="25"/>
      <c r="AO15" s="24" t="s">
        <v>28</v>
      </c>
      <c r="AP15" s="24"/>
      <c r="AQ15" s="24"/>
      <c r="AR15" s="24"/>
      <c r="AS15" s="24"/>
      <c r="AT15" s="24"/>
    </row>
    <row r="16" spans="5:58" x14ac:dyDescent="0.3">
      <c r="T16" s="25"/>
      <c r="U16" s="25"/>
      <c r="V16" s="25"/>
      <c r="W16" s="25"/>
      <c r="X16" s="25"/>
      <c r="AO16" s="24"/>
      <c r="AP16" s="24"/>
      <c r="AQ16" s="24"/>
      <c r="AR16" s="24"/>
      <c r="AS16" s="24"/>
      <c r="AT16" s="24"/>
    </row>
    <row r="17" spans="6:46" ht="18" x14ac:dyDescent="0.3">
      <c r="V17" s="9"/>
      <c r="X17" t="s">
        <v>62</v>
      </c>
      <c r="AO17" s="11"/>
      <c r="AP17" s="11"/>
      <c r="AQ17" s="11"/>
      <c r="AR17" s="11"/>
      <c r="AS17" s="11"/>
      <c r="AT17" s="11"/>
    </row>
    <row r="18" spans="6:46" ht="18" x14ac:dyDescent="0.3">
      <c r="V18" s="9"/>
      <c r="AO18" s="11"/>
      <c r="AP18" s="11"/>
      <c r="AQ18" s="11"/>
      <c r="AR18" s="11"/>
      <c r="AS18" s="11"/>
      <c r="AT18" s="11"/>
    </row>
    <row r="19" spans="6:46" x14ac:dyDescent="0.3">
      <c r="V19" s="9"/>
      <c r="AO19" s="24" t="s">
        <v>29</v>
      </c>
      <c r="AP19" s="24"/>
      <c r="AQ19" s="24"/>
      <c r="AR19" s="24"/>
      <c r="AS19" s="24"/>
      <c r="AT19" s="24"/>
    </row>
    <row r="20" spans="6:46" x14ac:dyDescent="0.3">
      <c r="V20" s="9"/>
      <c r="AO20" s="24"/>
      <c r="AP20" s="24"/>
      <c r="AQ20" s="24"/>
      <c r="AR20" s="24"/>
      <c r="AS20" s="24"/>
      <c r="AT20" s="24"/>
    </row>
    <row r="21" spans="6:46" ht="18" x14ac:dyDescent="0.3">
      <c r="V21" s="9"/>
      <c r="AO21" s="11"/>
      <c r="AP21" s="11"/>
      <c r="AQ21" s="11"/>
      <c r="AR21" s="11"/>
      <c r="AS21" s="11"/>
      <c r="AT21" s="11"/>
    </row>
    <row r="22" spans="6:46" ht="18" x14ac:dyDescent="0.3">
      <c r="V22" s="9"/>
      <c r="AO22" s="11"/>
      <c r="AP22" s="11"/>
      <c r="AQ22" s="11"/>
      <c r="AR22" s="11"/>
      <c r="AS22" s="11"/>
      <c r="AT22" s="11"/>
    </row>
    <row r="23" spans="6:46" x14ac:dyDescent="0.3">
      <c r="Q23" s="9"/>
      <c r="R23" s="9"/>
      <c r="S23" s="9"/>
      <c r="T23" s="9"/>
      <c r="U23" s="9"/>
      <c r="V23" s="9"/>
      <c r="W23" t="s">
        <v>67</v>
      </c>
      <c r="AO23" s="24" t="s">
        <v>32</v>
      </c>
      <c r="AP23" s="24"/>
      <c r="AQ23" s="24"/>
      <c r="AR23" s="24"/>
      <c r="AS23" s="24"/>
      <c r="AT23" s="24"/>
    </row>
    <row r="24" spans="6:46" x14ac:dyDescent="0.3">
      <c r="Q24" s="9"/>
      <c r="W24" t="str">
        <f>IF($AO$15="Flavor B","+","")</f>
        <v>+</v>
      </c>
      <c r="AO24" s="24"/>
      <c r="AP24" s="24"/>
      <c r="AQ24" s="24"/>
      <c r="AR24" s="24"/>
      <c r="AS24" s="24"/>
      <c r="AT24" s="24"/>
    </row>
    <row r="25" spans="6:46" ht="18" x14ac:dyDescent="0.3">
      <c r="Q25" s="9"/>
      <c r="AO25" s="11"/>
      <c r="AP25" s="11"/>
      <c r="AQ25" s="11"/>
      <c r="AR25" s="11"/>
      <c r="AS25" s="11"/>
      <c r="AT25" s="11"/>
    </row>
    <row r="26" spans="6:46" ht="18" x14ac:dyDescent="0.3">
      <c r="F26" s="21" t="s">
        <v>194</v>
      </c>
      <c r="Q26" s="9"/>
      <c r="AO26" s="11"/>
      <c r="AP26" s="11"/>
      <c r="AQ26" s="11"/>
      <c r="AR26" s="11"/>
      <c r="AS26" s="11"/>
      <c r="AT26" s="11"/>
    </row>
    <row r="27" spans="6:46" x14ac:dyDescent="0.3">
      <c r="F27" s="25" t="s">
        <v>35</v>
      </c>
      <c r="G27" s="25"/>
      <c r="H27" s="25"/>
      <c r="I27" s="25"/>
      <c r="J27" s="25"/>
      <c r="L27" t="s">
        <v>68</v>
      </c>
      <c r="O27" s="25" t="s">
        <v>34</v>
      </c>
      <c r="P27" s="25"/>
      <c r="Q27" s="25"/>
      <c r="R27" s="25"/>
      <c r="S27" s="25"/>
    </row>
    <row r="28" spans="6:46" x14ac:dyDescent="0.3">
      <c r="F28" s="25"/>
      <c r="G28" s="25"/>
      <c r="H28" s="25"/>
      <c r="I28" s="25"/>
      <c r="J28" s="25"/>
      <c r="L28" t="str">
        <f>IF(AND($AO$19="Flavor D",$AO$15="Flavor B"),"+","")</f>
        <v/>
      </c>
      <c r="O28" s="25"/>
      <c r="P28" s="25"/>
      <c r="Q28" s="25"/>
      <c r="R28" s="25"/>
      <c r="S28" s="25"/>
    </row>
    <row r="29" spans="6:46" x14ac:dyDescent="0.3">
      <c r="F29" s="25"/>
      <c r="G29" s="25"/>
      <c r="H29" s="25"/>
      <c r="I29" s="25"/>
      <c r="J29" s="25"/>
      <c r="K29" s="9"/>
      <c r="L29" s="9"/>
      <c r="M29" s="9"/>
      <c r="N29" s="9"/>
      <c r="O29" s="25"/>
      <c r="P29" s="25"/>
      <c r="Q29" s="25"/>
      <c r="R29" s="25"/>
      <c r="S29" s="25"/>
    </row>
    <row r="30" spans="6:46" x14ac:dyDescent="0.3">
      <c r="F30" s="25"/>
      <c r="G30" s="25"/>
      <c r="H30" s="25"/>
      <c r="I30" s="25"/>
      <c r="J30" s="25"/>
      <c r="O30" s="25"/>
      <c r="P30" s="25"/>
      <c r="Q30" s="25"/>
      <c r="R30" s="25"/>
      <c r="S30" s="25"/>
      <c r="T30" t="s">
        <v>63</v>
      </c>
    </row>
    <row r="31" spans="6:46" x14ac:dyDescent="0.3">
      <c r="F31" s="25"/>
      <c r="G31" s="25"/>
      <c r="H31" s="25"/>
      <c r="I31" s="25"/>
      <c r="J31" s="25"/>
      <c r="K31" t="s">
        <v>64</v>
      </c>
      <c r="O31" s="25"/>
      <c r="P31" s="25"/>
      <c r="Q31" s="25"/>
      <c r="R31" s="25"/>
      <c r="S31" s="25"/>
      <c r="T31" t="str">
        <f>IF($AO$15="Flavor B","+","")</f>
        <v>+</v>
      </c>
    </row>
    <row r="32" spans="6:46" x14ac:dyDescent="0.3">
      <c r="K32" t="str">
        <f>IF(AND($AO$19="Flavor D",$AO$15="Flavor B"),"+","")</f>
        <v/>
      </c>
      <c r="Q32" s="9"/>
    </row>
    <row r="33" spans="13:34" x14ac:dyDescent="0.3">
      <c r="Q33" s="9"/>
    </row>
    <row r="34" spans="13:34" x14ac:dyDescent="0.3">
      <c r="Q34" s="9"/>
      <c r="Z34" t="s">
        <v>69</v>
      </c>
    </row>
    <row r="35" spans="13:34" x14ac:dyDescent="0.3">
      <c r="Q35" s="9"/>
      <c r="Z35" t="str">
        <f>IF(AND($AO$23="Flavor F",$AO$15="Flavor B"),"+","")</f>
        <v>+</v>
      </c>
    </row>
    <row r="36" spans="13:34" x14ac:dyDescent="0.3">
      <c r="Q36" s="9"/>
      <c r="R36" s="9"/>
      <c r="S36" s="9"/>
      <c r="T36" s="9"/>
      <c r="U36" s="9"/>
      <c r="V36" s="9"/>
      <c r="W36" s="9"/>
      <c r="X36" s="9"/>
      <c r="Y36" s="9"/>
      <c r="Z36" s="9"/>
      <c r="AA36" s="9"/>
      <c r="AB36" s="9"/>
      <c r="AC36" s="9"/>
      <c r="AD36" s="9"/>
      <c r="AE36" s="9"/>
      <c r="AF36" s="9"/>
    </row>
    <row r="37" spans="13:34" x14ac:dyDescent="0.3">
      <c r="N37" t="s">
        <v>70</v>
      </c>
      <c r="Q37" s="9"/>
      <c r="AF37" s="9"/>
    </row>
    <row r="38" spans="13:34" x14ac:dyDescent="0.3">
      <c r="N38" t="str">
        <f>IF(AND($AO$23="Flavor E",$AO$15="Flavor B"),"+","")</f>
        <v/>
      </c>
      <c r="Q38" s="9"/>
      <c r="AF38" s="9"/>
    </row>
    <row r="39" spans="13:34" x14ac:dyDescent="0.3">
      <c r="Q39" s="9"/>
      <c r="AF39" s="9"/>
    </row>
    <row r="40" spans="13:34" x14ac:dyDescent="0.3">
      <c r="Q40" s="9"/>
      <c r="AF40" s="9"/>
    </row>
    <row r="41" spans="13:34" x14ac:dyDescent="0.3">
      <c r="M41" s="26" t="s">
        <v>36</v>
      </c>
      <c r="N41" s="26"/>
      <c r="O41" s="26"/>
      <c r="P41" s="26"/>
      <c r="Q41" s="26"/>
      <c r="R41" s="26"/>
      <c r="S41" s="26"/>
      <c r="T41" s="26"/>
      <c r="U41" s="26"/>
      <c r="V41" s="26"/>
      <c r="W41" s="26"/>
      <c r="X41" s="26"/>
      <c r="Y41" s="26"/>
      <c r="Z41" s="26"/>
      <c r="AE41" s="25" t="s">
        <v>39</v>
      </c>
      <c r="AF41" s="25"/>
      <c r="AG41" s="25"/>
      <c r="AH41" s="25"/>
    </row>
    <row r="42" spans="13:34" x14ac:dyDescent="0.3">
      <c r="M42" s="26"/>
      <c r="N42" s="26"/>
      <c r="O42" s="26"/>
      <c r="P42" s="26"/>
      <c r="Q42" s="26"/>
      <c r="R42" s="26"/>
      <c r="S42" s="26"/>
      <c r="T42" s="26"/>
      <c r="U42" s="26"/>
      <c r="V42" s="26"/>
      <c r="W42" s="26"/>
      <c r="X42" s="26"/>
      <c r="Y42" s="26"/>
      <c r="Z42" s="26"/>
      <c r="AE42" s="25"/>
      <c r="AF42" s="25"/>
      <c r="AG42" s="25"/>
      <c r="AH42" s="25"/>
    </row>
    <row r="43" spans="13:34" x14ac:dyDescent="0.3">
      <c r="M43" s="26"/>
      <c r="N43" s="26"/>
      <c r="O43" s="26"/>
      <c r="P43" s="26"/>
      <c r="Q43" s="26"/>
      <c r="R43" s="26"/>
      <c r="S43" s="26"/>
      <c r="T43" s="26"/>
      <c r="U43" s="26"/>
      <c r="V43" s="26"/>
      <c r="W43" s="26"/>
      <c r="X43" s="26"/>
      <c r="Y43" s="26"/>
      <c r="Z43" s="26"/>
      <c r="AE43" s="25"/>
      <c r="AF43" s="25"/>
      <c r="AG43" s="25"/>
      <c r="AH43" s="25"/>
    </row>
    <row r="44" spans="13:34" x14ac:dyDescent="0.3">
      <c r="M44" s="26"/>
      <c r="N44" s="26"/>
      <c r="O44" s="26"/>
      <c r="P44" s="26"/>
      <c r="Q44" s="26"/>
      <c r="R44" s="26"/>
      <c r="S44" s="26"/>
      <c r="T44" s="26"/>
      <c r="U44" s="26"/>
      <c r="V44" s="26"/>
      <c r="W44" s="26"/>
      <c r="X44" s="26"/>
      <c r="Y44" s="26"/>
      <c r="Z44" s="26"/>
      <c r="AE44" s="25"/>
      <c r="AF44" s="25"/>
      <c r="AG44" s="25"/>
      <c r="AH44" s="25"/>
    </row>
    <row r="45" spans="13:34" x14ac:dyDescent="0.3">
      <c r="M45" s="26"/>
      <c r="N45" s="26"/>
      <c r="O45" s="26"/>
      <c r="P45" s="26"/>
      <c r="Q45" s="26"/>
      <c r="R45" s="26"/>
      <c r="S45" s="26"/>
      <c r="T45" s="26"/>
      <c r="U45" s="26"/>
      <c r="V45" s="26"/>
      <c r="W45" s="26"/>
      <c r="X45" s="26"/>
      <c r="Y45" s="26"/>
      <c r="Z45" s="26"/>
      <c r="AE45" s="25"/>
      <c r="AF45" s="25"/>
      <c r="AG45" s="25"/>
      <c r="AH45" s="25"/>
    </row>
    <row r="46" spans="13:34" x14ac:dyDescent="0.3">
      <c r="O46" s="9"/>
      <c r="R46" t="s">
        <v>65</v>
      </c>
      <c r="W46" s="9"/>
      <c r="AG46" t="s">
        <v>66</v>
      </c>
    </row>
    <row r="47" spans="13:34" x14ac:dyDescent="0.3">
      <c r="O47" s="9"/>
      <c r="R47" t="str">
        <f>IF(AND($AO$23="Flavor E",$AO$15="Flavor B"),"+","")</f>
        <v/>
      </c>
      <c r="W47" s="9"/>
      <c r="AG47" t="str">
        <f>IF(AND($AO$23="Flavor F",$AO$15="Flavor B"),"+","")</f>
        <v>+</v>
      </c>
    </row>
    <row r="48" spans="13:34" x14ac:dyDescent="0.3">
      <c r="O48" s="9"/>
      <c r="W48" s="9"/>
    </row>
    <row r="49" spans="14:26" x14ac:dyDescent="0.3">
      <c r="O49" s="9"/>
      <c r="W49" s="9"/>
    </row>
    <row r="50" spans="14:26" x14ac:dyDescent="0.3">
      <c r="O50" s="9"/>
      <c r="W50" s="9"/>
    </row>
    <row r="51" spans="14:26" x14ac:dyDescent="0.3">
      <c r="O51" s="9"/>
      <c r="P51" t="s">
        <v>162</v>
      </c>
      <c r="W51" s="9"/>
      <c r="X51" t="s">
        <v>163</v>
      </c>
    </row>
    <row r="52" spans="14:26" x14ac:dyDescent="0.3">
      <c r="O52" s="9"/>
      <c r="W52" s="9"/>
    </row>
    <row r="53" spans="14:26" x14ac:dyDescent="0.3">
      <c r="O53" s="9"/>
      <c r="W53" s="9"/>
    </row>
    <row r="54" spans="14:26" x14ac:dyDescent="0.3">
      <c r="O54" s="9"/>
      <c r="W54" s="9"/>
    </row>
    <row r="55" spans="14:26" x14ac:dyDescent="0.3">
      <c r="O55" s="9"/>
      <c r="W55" s="9"/>
    </row>
    <row r="56" spans="14:26" x14ac:dyDescent="0.3">
      <c r="O56" s="9"/>
      <c r="W56" s="9"/>
    </row>
    <row r="57" spans="14:26" ht="14.4" customHeight="1" x14ac:dyDescent="0.3">
      <c r="N57" s="25" t="s">
        <v>37</v>
      </c>
      <c r="O57" s="25"/>
      <c r="P57" s="25"/>
      <c r="Q57" s="25"/>
      <c r="V57" s="25" t="s">
        <v>38</v>
      </c>
      <c r="W57" s="25"/>
      <c r="X57" s="25"/>
      <c r="Y57" s="25"/>
    </row>
    <row r="58" spans="14:26" ht="14.4" customHeight="1" x14ac:dyDescent="0.3">
      <c r="N58" s="25"/>
      <c r="O58" s="25"/>
      <c r="P58" s="25"/>
      <c r="Q58" s="25"/>
      <c r="R58" t="s">
        <v>185</v>
      </c>
      <c r="V58" s="25"/>
      <c r="W58" s="25"/>
      <c r="X58" s="25"/>
      <c r="Y58" s="25"/>
      <c r="Z58" t="s">
        <v>186</v>
      </c>
    </row>
    <row r="59" spans="14:26" ht="14.4" customHeight="1" x14ac:dyDescent="0.3">
      <c r="N59" s="25"/>
      <c r="O59" s="25"/>
      <c r="P59" s="25"/>
      <c r="Q59" s="25"/>
      <c r="V59" s="25"/>
      <c r="W59" s="25"/>
      <c r="X59" s="25"/>
      <c r="Y59" s="25"/>
    </row>
    <row r="60" spans="14:26" ht="14.4" customHeight="1" x14ac:dyDescent="0.3">
      <c r="N60" s="25"/>
      <c r="O60" s="25"/>
      <c r="P60" s="25"/>
      <c r="Q60" s="25"/>
      <c r="V60" s="25"/>
      <c r="W60" s="25"/>
      <c r="X60" s="25"/>
      <c r="Y60" s="25"/>
    </row>
  </sheetData>
  <mergeCells count="16">
    <mergeCell ref="N57:Q60"/>
    <mergeCell ref="V57:Y60"/>
    <mergeCell ref="AO15:AT16"/>
    <mergeCell ref="AO19:AT20"/>
    <mergeCell ref="AF5:AJ5"/>
    <mergeCell ref="AF6:AJ6"/>
    <mergeCell ref="T12:X16"/>
    <mergeCell ref="O27:S31"/>
    <mergeCell ref="Z5:AE5"/>
    <mergeCell ref="Z6:AE6"/>
    <mergeCell ref="BA6:BC6"/>
    <mergeCell ref="BD6:BF6"/>
    <mergeCell ref="AO23:AT24"/>
    <mergeCell ref="F27:J31"/>
    <mergeCell ref="M41:Z45"/>
    <mergeCell ref="AE41:AH45"/>
  </mergeCells>
  <conditionalFormatting sqref="D17:AI23 X24:AI24 D31:S31 U31:AI31 D32:AI56 D57:N57 R57:V57 Z57:AI60 D58:M60 R58:U60 D24:E24 G24:V24 D25:AI30">
    <cfRule type="expression" dxfId="3" priority="4">
      <formula>$AO$15="Flavor A"</formula>
    </cfRule>
  </conditionalFormatting>
  <conditionalFormatting sqref="F27:N31">
    <cfRule type="expression" dxfId="2" priority="3">
      <formula>$AO$19="Flavor C"</formula>
    </cfRule>
  </conditionalFormatting>
  <conditionalFormatting sqref="Q37:Q40 M41 N46:P56 V46:X56 N57 V57">
    <cfRule type="expression" dxfId="1" priority="1">
      <formula>$AO$23="Flavor F"</formula>
    </cfRule>
  </conditionalFormatting>
  <conditionalFormatting sqref="R32:AH40 AE41:AH45">
    <cfRule type="expression" dxfId="0" priority="2">
      <formula>$AO$23="Flavor E"</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5BCE5740-C5F6-43E1-B8F3-D5997A275F2A}">
          <x14:formula1>
            <xm:f>'FUNCTIONAL_GROUP_1 Backend'!$E$8:$E$9</xm:f>
          </x14:formula1>
          <xm:sqref>AO15:AT16</xm:sqref>
        </x14:dataValidation>
        <x14:dataValidation type="list" allowBlank="1" showInputMessage="1" showErrorMessage="1" xr:uid="{4E915176-414C-4D61-9B71-F47E1734285D}">
          <x14:formula1>
            <xm:f>'FUNCTIONAL_GROUP_1 Backend'!$F$8:$F$9</xm:f>
          </x14:formula1>
          <xm:sqref>AO19:AT20</xm:sqref>
        </x14:dataValidation>
        <x14:dataValidation type="list" allowBlank="1" showInputMessage="1" showErrorMessage="1" xr:uid="{5CC0A956-E2CF-4B56-B6A7-66C186BFA837}">
          <x14:formula1>
            <xm:f>'FUNCTIONAL_GROUP_1 Backend'!$G$8:$G$9</xm:f>
          </x14:formula1>
          <xm:sqref>AO23:AT24</xm:sqref>
        </x14:dataValidation>
        <x14:dataValidation type="list" allowBlank="1" showInputMessage="1" showErrorMessage="1" xr:uid="{01B61942-CBE8-4576-B83B-38603E9DFB6A}">
          <x14:formula1>
            <xm:f>'FUNCTIONAL_GROUP_1 Backend'!$H$8:$H$10</xm:f>
          </x14:formula1>
          <xm:sqref>BD6:BF6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2026C-EC77-4BDC-8386-C3E769401003}">
  <sheetPr codeName="Tabelle4"/>
  <dimension ref="G11:BE37"/>
  <sheetViews>
    <sheetView topLeftCell="A7" zoomScale="115" zoomScaleNormal="115" workbookViewId="0">
      <selection activeCell="L14" sqref="L14"/>
    </sheetView>
  </sheetViews>
  <sheetFormatPr baseColWidth="10" defaultRowHeight="14.4" x14ac:dyDescent="0.3"/>
  <cols>
    <col min="1" max="55" width="2.6640625" customWidth="1"/>
    <col min="56" max="56" width="3.88671875" customWidth="1"/>
    <col min="57" max="129" width="2.6640625" customWidth="1"/>
  </cols>
  <sheetData>
    <row r="11" spans="7:57" x14ac:dyDescent="0.3">
      <c r="G11" s="37"/>
      <c r="H11" s="37"/>
      <c r="I11" s="37"/>
      <c r="J11" s="37"/>
      <c r="K11" s="37"/>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row>
    <row r="12" spans="7:57" ht="14.4" customHeight="1" x14ac:dyDescent="0.3">
      <c r="G12" s="37"/>
      <c r="H12" s="37"/>
      <c r="I12" s="37"/>
      <c r="J12" s="37"/>
      <c r="K12" s="37"/>
      <c r="L12" s="41" t="s">
        <v>26</v>
      </c>
      <c r="M12" s="36"/>
      <c r="N12" s="36"/>
      <c r="O12" s="36"/>
      <c r="P12" s="43" t="s">
        <v>35</v>
      </c>
      <c r="Q12" s="42"/>
      <c r="R12" s="42"/>
      <c r="S12" s="42"/>
      <c r="T12" s="42"/>
      <c r="U12" s="42"/>
      <c r="V12" s="41" t="s">
        <v>26</v>
      </c>
      <c r="W12" s="36"/>
      <c r="X12" s="36"/>
      <c r="Y12" s="36"/>
      <c r="Z12" s="42"/>
      <c r="AA12" s="42"/>
      <c r="AB12" s="42"/>
      <c r="AC12" s="42"/>
      <c r="AD12" s="42"/>
      <c r="AE12" s="42"/>
      <c r="AF12" s="36"/>
      <c r="AG12" s="36"/>
      <c r="AH12" s="36"/>
      <c r="AI12" s="36"/>
      <c r="AJ12" s="42"/>
      <c r="AK12" s="42"/>
      <c r="AL12" s="42"/>
      <c r="AM12" s="42"/>
      <c r="AN12" s="42"/>
      <c r="AO12" s="42"/>
      <c r="AP12" s="36"/>
      <c r="AQ12" s="36"/>
      <c r="AR12" s="36"/>
      <c r="AS12" s="36"/>
      <c r="AT12" s="42"/>
      <c r="AU12" s="42"/>
      <c r="AV12" s="42"/>
      <c r="AW12" s="42"/>
      <c r="AX12" s="42"/>
      <c r="AY12" s="42"/>
      <c r="AZ12" s="36"/>
      <c r="BA12" s="36"/>
      <c r="BB12" s="36"/>
      <c r="BC12" s="36"/>
      <c r="BD12" s="39"/>
      <c r="BE12" s="10"/>
    </row>
    <row r="13" spans="7:57" ht="14.4" customHeight="1" x14ac:dyDescent="0.3">
      <c r="G13" s="37"/>
      <c r="H13" s="37"/>
      <c r="I13" s="37"/>
      <c r="J13" s="37"/>
      <c r="K13" s="37"/>
      <c r="L13" s="36"/>
      <c r="M13" s="36"/>
      <c r="N13" s="36"/>
      <c r="O13" s="36"/>
      <c r="P13" s="42"/>
      <c r="Q13" s="42"/>
      <c r="R13" s="42"/>
      <c r="S13" s="42"/>
      <c r="T13" s="42"/>
      <c r="U13" s="42"/>
      <c r="V13" s="36"/>
      <c r="W13" s="36"/>
      <c r="X13" s="36"/>
      <c r="Y13" s="36"/>
      <c r="Z13" s="42"/>
      <c r="AA13" s="42"/>
      <c r="AB13" s="42"/>
      <c r="AC13" s="42"/>
      <c r="AD13" s="42"/>
      <c r="AE13" s="42"/>
      <c r="AF13" s="36"/>
      <c r="AG13" s="36"/>
      <c r="AH13" s="36"/>
      <c r="AI13" s="36"/>
      <c r="AJ13" s="42"/>
      <c r="AK13" s="42"/>
      <c r="AL13" s="42"/>
      <c r="AM13" s="42"/>
      <c r="AN13" s="42"/>
      <c r="AO13" s="42"/>
      <c r="AP13" s="36"/>
      <c r="AQ13" s="36"/>
      <c r="AR13" s="36"/>
      <c r="AS13" s="36"/>
      <c r="AT13" s="42"/>
      <c r="AU13" s="42"/>
      <c r="AV13" s="42"/>
      <c r="AW13" s="42"/>
      <c r="AX13" s="42"/>
      <c r="AY13" s="42"/>
      <c r="AZ13" s="36"/>
      <c r="BA13" s="36"/>
      <c r="BB13" s="36"/>
      <c r="BC13" s="36"/>
      <c r="BD13" s="39"/>
      <c r="BE13" s="10"/>
    </row>
    <row r="14" spans="7:57" ht="21" x14ac:dyDescent="0.4">
      <c r="G14" s="37"/>
      <c r="H14" s="37"/>
      <c r="I14" s="37"/>
      <c r="J14" s="37"/>
      <c r="K14" s="37"/>
      <c r="L14" s="10"/>
      <c r="M14" s="10"/>
      <c r="N14" s="10"/>
      <c r="O14" s="10"/>
      <c r="P14" s="12"/>
      <c r="Q14" s="12"/>
      <c r="R14" s="12"/>
      <c r="S14" s="12"/>
      <c r="T14" s="12"/>
      <c r="U14" s="12"/>
      <c r="V14" s="12"/>
      <c r="W14" s="12"/>
      <c r="X14" s="12"/>
      <c r="Y14" s="41" t="s">
        <v>26</v>
      </c>
      <c r="Z14" s="12"/>
      <c r="AA14" s="12"/>
      <c r="AB14" s="12"/>
      <c r="AC14" s="12"/>
      <c r="AD14" s="12"/>
      <c r="AE14" s="12"/>
      <c r="AF14" s="12"/>
      <c r="AG14" s="12"/>
      <c r="AH14" s="12"/>
      <c r="AI14" s="36"/>
      <c r="AJ14" s="12"/>
      <c r="AK14" s="12"/>
      <c r="AL14" s="12"/>
      <c r="AM14" s="12"/>
      <c r="AN14" s="12"/>
      <c r="AO14" s="12"/>
      <c r="AP14" s="12"/>
      <c r="AQ14" s="12"/>
      <c r="AR14" s="12"/>
      <c r="AS14" s="36"/>
      <c r="AT14" s="12"/>
      <c r="AU14" s="12"/>
      <c r="AV14" s="12"/>
      <c r="AW14" s="12"/>
      <c r="AX14" s="12"/>
      <c r="AY14" s="12"/>
      <c r="AZ14" s="10"/>
      <c r="BA14" s="10"/>
      <c r="BB14" s="10"/>
      <c r="BC14" s="10"/>
      <c r="BD14" s="39"/>
      <c r="BE14" s="10"/>
    </row>
    <row r="15" spans="7:57" ht="21" x14ac:dyDescent="0.4">
      <c r="G15" s="37"/>
      <c r="H15" s="37"/>
      <c r="I15" s="37"/>
      <c r="J15" s="37"/>
      <c r="K15" s="37"/>
      <c r="L15" s="10"/>
      <c r="M15" s="10"/>
      <c r="N15" s="10"/>
      <c r="O15" s="10"/>
      <c r="P15" s="12"/>
      <c r="Q15" s="12"/>
      <c r="R15" s="12"/>
      <c r="S15" s="12"/>
      <c r="T15" s="12"/>
      <c r="U15" s="12"/>
      <c r="V15" s="12"/>
      <c r="W15" s="12"/>
      <c r="X15" s="12"/>
      <c r="Y15" s="36"/>
      <c r="Z15" s="12"/>
      <c r="AA15" s="12"/>
      <c r="AB15" s="12"/>
      <c r="AC15" s="12"/>
      <c r="AD15" s="12"/>
      <c r="AE15" s="12"/>
      <c r="AF15" s="12"/>
      <c r="AG15" s="12"/>
      <c r="AH15" s="12"/>
      <c r="AI15" s="36"/>
      <c r="AJ15" s="12"/>
      <c r="AK15" s="12"/>
      <c r="AL15" s="12"/>
      <c r="AM15" s="12"/>
      <c r="AN15" s="12"/>
      <c r="AO15" s="12"/>
      <c r="AP15" s="12"/>
      <c r="AQ15" s="12"/>
      <c r="AR15" s="12"/>
      <c r="AS15" s="36"/>
      <c r="AT15" s="12"/>
      <c r="AU15" s="12"/>
      <c r="AV15" s="12"/>
      <c r="AW15" s="12"/>
      <c r="AX15" s="12"/>
      <c r="AY15" s="12"/>
      <c r="AZ15" s="10"/>
      <c r="BA15" s="10"/>
      <c r="BB15" s="10"/>
      <c r="BC15" s="10"/>
      <c r="BD15" s="39"/>
      <c r="BE15" s="10"/>
    </row>
    <row r="16" spans="7:57" ht="14.4" customHeight="1" x14ac:dyDescent="0.3">
      <c r="G16" s="37"/>
      <c r="H16" s="37"/>
      <c r="I16" s="37"/>
      <c r="J16" s="37"/>
      <c r="K16" s="37"/>
      <c r="L16" s="41" t="s">
        <v>26</v>
      </c>
      <c r="M16" s="36"/>
      <c r="N16" s="36"/>
      <c r="O16" s="36"/>
      <c r="P16" s="43" t="s">
        <v>33</v>
      </c>
      <c r="Q16" s="42"/>
      <c r="R16" s="42"/>
      <c r="S16" s="42"/>
      <c r="T16" s="42"/>
      <c r="U16" s="42"/>
      <c r="V16" s="41" t="s">
        <v>26</v>
      </c>
      <c r="W16" s="36"/>
      <c r="X16" s="36"/>
      <c r="Y16" s="36"/>
      <c r="Z16" s="42"/>
      <c r="AA16" s="42"/>
      <c r="AB16" s="42"/>
      <c r="AC16" s="42"/>
      <c r="AD16" s="42"/>
      <c r="AE16" s="42"/>
      <c r="AF16" s="36"/>
      <c r="AG16" s="36"/>
      <c r="AH16" s="36"/>
      <c r="AI16" s="36"/>
      <c r="AJ16" s="42"/>
      <c r="AK16" s="42"/>
      <c r="AL16" s="42"/>
      <c r="AM16" s="42"/>
      <c r="AN16" s="42"/>
      <c r="AO16" s="42"/>
      <c r="AP16" s="36"/>
      <c r="AQ16" s="36"/>
      <c r="AR16" s="36"/>
      <c r="AS16" s="36"/>
      <c r="AT16" s="42"/>
      <c r="AU16" s="42"/>
      <c r="AV16" s="42"/>
      <c r="AW16" s="42"/>
      <c r="AX16" s="42"/>
      <c r="AY16" s="42"/>
      <c r="AZ16" s="36"/>
      <c r="BA16" s="36"/>
      <c r="BB16" s="36"/>
      <c r="BC16" s="36"/>
      <c r="BD16" s="39"/>
      <c r="BE16" s="10"/>
    </row>
    <row r="17" spans="7:57" ht="14.4" customHeight="1" x14ac:dyDescent="0.3">
      <c r="G17" s="37"/>
      <c r="H17" s="37"/>
      <c r="I17" s="37"/>
      <c r="J17" s="37"/>
      <c r="K17" s="37"/>
      <c r="L17" s="36"/>
      <c r="M17" s="36"/>
      <c r="N17" s="36"/>
      <c r="O17" s="36"/>
      <c r="P17" s="42"/>
      <c r="Q17" s="42"/>
      <c r="R17" s="42"/>
      <c r="S17" s="42"/>
      <c r="T17" s="42"/>
      <c r="U17" s="42"/>
      <c r="V17" s="36"/>
      <c r="W17" s="36"/>
      <c r="X17" s="36"/>
      <c r="Y17" s="36"/>
      <c r="Z17" s="42"/>
      <c r="AA17" s="42"/>
      <c r="AB17" s="42"/>
      <c r="AC17" s="42"/>
      <c r="AD17" s="42"/>
      <c r="AE17" s="42"/>
      <c r="AF17" s="36"/>
      <c r="AG17" s="36"/>
      <c r="AH17" s="36"/>
      <c r="AI17" s="36"/>
      <c r="AJ17" s="42"/>
      <c r="AK17" s="42"/>
      <c r="AL17" s="42"/>
      <c r="AM17" s="42"/>
      <c r="AN17" s="42"/>
      <c r="AO17" s="42"/>
      <c r="AP17" s="36"/>
      <c r="AQ17" s="36"/>
      <c r="AR17" s="36"/>
      <c r="AS17" s="36"/>
      <c r="AT17" s="42"/>
      <c r="AU17" s="42"/>
      <c r="AV17" s="42"/>
      <c r="AW17" s="42"/>
      <c r="AX17" s="42"/>
      <c r="AY17" s="42"/>
      <c r="AZ17" s="36"/>
      <c r="BA17" s="36"/>
      <c r="BB17" s="36"/>
      <c r="BC17" s="36"/>
      <c r="BD17" s="39"/>
      <c r="BE17" s="10"/>
    </row>
    <row r="18" spans="7:57" ht="21" x14ac:dyDescent="0.4">
      <c r="G18" s="37"/>
      <c r="H18" s="37"/>
      <c r="I18" s="37"/>
      <c r="J18" s="37"/>
      <c r="K18" s="37"/>
      <c r="L18" s="10"/>
      <c r="M18" s="10"/>
      <c r="N18" s="10"/>
      <c r="O18" s="10"/>
      <c r="P18" s="12"/>
      <c r="Q18" s="12"/>
      <c r="R18" s="12"/>
      <c r="S18" s="12"/>
      <c r="T18" s="12"/>
      <c r="U18" s="12"/>
      <c r="V18" s="12"/>
      <c r="W18" s="12"/>
      <c r="X18" s="12"/>
      <c r="Y18" s="41" t="s">
        <v>26</v>
      </c>
      <c r="Z18" s="12"/>
      <c r="AA18" s="12"/>
      <c r="AB18" s="12"/>
      <c r="AC18" s="12"/>
      <c r="AD18" s="12"/>
      <c r="AE18" s="12"/>
      <c r="AF18" s="12"/>
      <c r="AG18" s="12"/>
      <c r="AH18" s="12"/>
      <c r="AI18" s="36"/>
      <c r="AJ18" s="12"/>
      <c r="AK18" s="12"/>
      <c r="AL18" s="12"/>
      <c r="AM18" s="12"/>
      <c r="AN18" s="12"/>
      <c r="AO18" s="12"/>
      <c r="AP18" s="12"/>
      <c r="AQ18" s="12"/>
      <c r="AR18" s="12"/>
      <c r="AS18" s="36"/>
      <c r="AT18" s="12"/>
      <c r="AU18" s="12"/>
      <c r="AV18" s="12"/>
      <c r="AW18" s="12"/>
      <c r="AX18" s="12"/>
      <c r="AY18" s="12"/>
      <c r="AZ18" s="10"/>
      <c r="BA18" s="10"/>
      <c r="BB18" s="10"/>
      <c r="BC18" s="10"/>
      <c r="BD18" s="39"/>
      <c r="BE18" s="10"/>
    </row>
    <row r="19" spans="7:57" ht="21" x14ac:dyDescent="0.4">
      <c r="G19" s="37"/>
      <c r="H19" s="37"/>
      <c r="I19" s="37"/>
      <c r="J19" s="37"/>
      <c r="K19" s="37"/>
      <c r="L19" s="10"/>
      <c r="M19" s="10"/>
      <c r="N19" s="10"/>
      <c r="O19" s="10"/>
      <c r="P19" s="12"/>
      <c r="Q19" s="12"/>
      <c r="R19" s="12"/>
      <c r="S19" s="12"/>
      <c r="T19" s="12"/>
      <c r="U19" s="12"/>
      <c r="V19" s="12"/>
      <c r="W19" s="12"/>
      <c r="X19" s="12"/>
      <c r="Y19" s="36"/>
      <c r="Z19" s="12"/>
      <c r="AA19" s="12"/>
      <c r="AB19" s="12"/>
      <c r="AC19" s="12"/>
      <c r="AD19" s="12"/>
      <c r="AE19" s="12"/>
      <c r="AF19" s="12"/>
      <c r="AG19" s="12"/>
      <c r="AH19" s="12"/>
      <c r="AI19" s="36"/>
      <c r="AJ19" s="12"/>
      <c r="AK19" s="12"/>
      <c r="AL19" s="12"/>
      <c r="AM19" s="12"/>
      <c r="AN19" s="12"/>
      <c r="AO19" s="12"/>
      <c r="AP19" s="12"/>
      <c r="AQ19" s="12"/>
      <c r="AR19" s="12"/>
      <c r="AS19" s="36"/>
      <c r="AT19" s="12"/>
      <c r="AU19" s="12"/>
      <c r="AV19" s="12"/>
      <c r="AW19" s="12"/>
      <c r="AX19" s="12"/>
      <c r="AY19" s="12"/>
      <c r="AZ19" s="10"/>
      <c r="BA19" s="10"/>
      <c r="BB19" s="10"/>
      <c r="BC19" s="10"/>
      <c r="BD19" s="39"/>
      <c r="BE19" s="10"/>
    </row>
    <row r="20" spans="7:57" ht="14.4" customHeight="1" x14ac:dyDescent="0.3">
      <c r="G20" s="37"/>
      <c r="H20" s="37"/>
      <c r="I20" s="37"/>
      <c r="J20" s="37"/>
      <c r="K20" s="37"/>
      <c r="L20" s="41" t="s">
        <v>26</v>
      </c>
      <c r="M20" s="36"/>
      <c r="N20" s="36"/>
      <c r="O20" s="36"/>
      <c r="P20" s="43" t="s">
        <v>36</v>
      </c>
      <c r="Q20" s="42"/>
      <c r="R20" s="42"/>
      <c r="S20" s="42"/>
      <c r="T20" s="42"/>
      <c r="U20" s="42"/>
      <c r="V20" s="41" t="s">
        <v>26</v>
      </c>
      <c r="W20" s="36"/>
      <c r="X20" s="36"/>
      <c r="Y20" s="36"/>
      <c r="Z20" s="43" t="s">
        <v>34</v>
      </c>
      <c r="AA20" s="42"/>
      <c r="AB20" s="42"/>
      <c r="AC20" s="42"/>
      <c r="AD20" s="42"/>
      <c r="AE20" s="42"/>
      <c r="AF20" s="41" t="s">
        <v>26</v>
      </c>
      <c r="AG20" s="36"/>
      <c r="AH20" s="36"/>
      <c r="AI20" s="36"/>
      <c r="AJ20" s="42"/>
      <c r="AK20" s="42"/>
      <c r="AL20" s="42"/>
      <c r="AM20" s="42"/>
      <c r="AN20" s="42"/>
      <c r="AO20" s="42"/>
      <c r="AP20" s="36"/>
      <c r="AQ20" s="36"/>
      <c r="AR20" s="36"/>
      <c r="AS20" s="36"/>
      <c r="AT20" s="42"/>
      <c r="AU20" s="42"/>
      <c r="AV20" s="42"/>
      <c r="AW20" s="42"/>
      <c r="AX20" s="42"/>
      <c r="AY20" s="42"/>
      <c r="AZ20" s="36"/>
      <c r="BA20" s="36"/>
      <c r="BB20" s="36"/>
      <c r="BC20" s="36"/>
      <c r="BD20" s="39"/>
      <c r="BE20" s="10"/>
    </row>
    <row r="21" spans="7:57" ht="14.4" customHeight="1" x14ac:dyDescent="0.3">
      <c r="G21" s="37"/>
      <c r="H21" s="37"/>
      <c r="I21" s="37"/>
      <c r="J21" s="37"/>
      <c r="K21" s="37"/>
      <c r="L21" s="36"/>
      <c r="M21" s="36"/>
      <c r="N21" s="36"/>
      <c r="O21" s="36"/>
      <c r="P21" s="42"/>
      <c r="Q21" s="42"/>
      <c r="R21" s="42"/>
      <c r="S21" s="42"/>
      <c r="T21" s="42"/>
      <c r="U21" s="42"/>
      <c r="V21" s="36"/>
      <c r="W21" s="36"/>
      <c r="X21" s="36"/>
      <c r="Y21" s="36"/>
      <c r="Z21" s="42"/>
      <c r="AA21" s="42"/>
      <c r="AB21" s="42"/>
      <c r="AC21" s="42"/>
      <c r="AD21" s="42"/>
      <c r="AE21" s="42"/>
      <c r="AF21" s="36"/>
      <c r="AG21" s="36"/>
      <c r="AH21" s="36"/>
      <c r="AI21" s="36"/>
      <c r="AJ21" s="42"/>
      <c r="AK21" s="42"/>
      <c r="AL21" s="42"/>
      <c r="AM21" s="42"/>
      <c r="AN21" s="42"/>
      <c r="AO21" s="42"/>
      <c r="AP21" s="36"/>
      <c r="AQ21" s="36"/>
      <c r="AR21" s="36"/>
      <c r="AS21" s="36"/>
      <c r="AT21" s="42"/>
      <c r="AU21" s="42"/>
      <c r="AV21" s="42"/>
      <c r="AW21" s="42"/>
      <c r="AX21" s="42"/>
      <c r="AY21" s="42"/>
      <c r="AZ21" s="36"/>
      <c r="BA21" s="36"/>
      <c r="BB21" s="36"/>
      <c r="BC21" s="36"/>
      <c r="BD21" s="39"/>
      <c r="BE21" s="10"/>
    </row>
    <row r="22" spans="7:57" ht="21" x14ac:dyDescent="0.4">
      <c r="G22" s="37"/>
      <c r="H22" s="37"/>
      <c r="I22" s="37"/>
      <c r="J22" s="37"/>
      <c r="K22" s="37"/>
      <c r="L22" s="10"/>
      <c r="M22" s="10"/>
      <c r="N22" s="10"/>
      <c r="O22" s="10"/>
      <c r="P22" s="12"/>
      <c r="Q22" s="12"/>
      <c r="R22" s="12"/>
      <c r="S22" s="12"/>
      <c r="T22" s="12"/>
      <c r="U22" s="12"/>
      <c r="V22" s="12"/>
      <c r="W22" s="12"/>
      <c r="X22" s="12"/>
      <c r="Y22" s="36"/>
      <c r="Z22" s="12"/>
      <c r="AA22" s="12"/>
      <c r="AB22" s="12"/>
      <c r="AC22" s="12"/>
      <c r="AD22" s="12"/>
      <c r="AE22" s="12"/>
      <c r="AF22" s="12"/>
      <c r="AG22" s="12"/>
      <c r="AH22" s="12"/>
      <c r="AI22" s="41" t="s">
        <v>26</v>
      </c>
      <c r="AJ22" s="12"/>
      <c r="AK22" s="12"/>
      <c r="AL22" s="12"/>
      <c r="AM22" s="12"/>
      <c r="AN22" s="12"/>
      <c r="AO22" s="12"/>
      <c r="AP22" s="12"/>
      <c r="AQ22" s="12"/>
      <c r="AR22" s="12"/>
      <c r="AS22" s="36"/>
      <c r="AT22" s="12"/>
      <c r="AU22" s="12"/>
      <c r="AV22" s="12"/>
      <c r="AW22" s="12"/>
      <c r="AX22" s="12"/>
      <c r="AY22" s="12"/>
      <c r="AZ22" s="10"/>
      <c r="BA22" s="10"/>
      <c r="BB22" s="10"/>
      <c r="BC22" s="10"/>
      <c r="BD22" s="39"/>
      <c r="BE22" s="10"/>
    </row>
    <row r="23" spans="7:57" ht="21" x14ac:dyDescent="0.4">
      <c r="G23" s="37"/>
      <c r="H23" s="37"/>
      <c r="I23" s="37"/>
      <c r="J23" s="37"/>
      <c r="K23" s="37"/>
      <c r="L23" s="10"/>
      <c r="M23" s="10"/>
      <c r="N23" s="10"/>
      <c r="O23" s="10"/>
      <c r="P23" s="12"/>
      <c r="Q23" s="12"/>
      <c r="R23" s="12"/>
      <c r="S23" s="12"/>
      <c r="T23" s="12"/>
      <c r="U23" s="12"/>
      <c r="V23" s="12"/>
      <c r="W23" s="12"/>
      <c r="X23" s="12"/>
      <c r="Y23" s="36"/>
      <c r="Z23" s="12"/>
      <c r="AA23" s="12"/>
      <c r="AB23" s="12"/>
      <c r="AC23" s="12"/>
      <c r="AD23" s="12"/>
      <c r="AE23" s="12"/>
      <c r="AF23" s="12"/>
      <c r="AG23" s="12"/>
      <c r="AH23" s="12"/>
      <c r="AI23" s="36"/>
      <c r="AJ23" s="12"/>
      <c r="AK23" s="12"/>
      <c r="AL23" s="12"/>
      <c r="AM23" s="12"/>
      <c r="AN23" s="12"/>
      <c r="AO23" s="12"/>
      <c r="AP23" s="12"/>
      <c r="AQ23" s="12"/>
      <c r="AR23" s="12"/>
      <c r="AS23" s="36"/>
      <c r="AT23" s="12"/>
      <c r="AU23" s="12"/>
      <c r="AV23" s="12"/>
      <c r="AW23" s="12"/>
      <c r="AX23" s="12"/>
      <c r="AY23" s="12"/>
      <c r="AZ23" s="10"/>
      <c r="BA23" s="10"/>
      <c r="BB23" s="10"/>
      <c r="BC23" s="10"/>
      <c r="BD23" s="39"/>
      <c r="BE23" s="10"/>
    </row>
    <row r="24" spans="7:57" ht="14.4" customHeight="1" x14ac:dyDescent="0.3">
      <c r="G24" s="37"/>
      <c r="H24" s="37"/>
      <c r="I24" s="37"/>
      <c r="J24" s="37"/>
      <c r="K24" s="37"/>
      <c r="L24" s="41" t="s">
        <v>26</v>
      </c>
      <c r="M24" s="36"/>
      <c r="N24" s="36"/>
      <c r="O24" s="36"/>
      <c r="P24" s="43" t="s">
        <v>35</v>
      </c>
      <c r="Q24" s="42"/>
      <c r="R24" s="42"/>
      <c r="S24" s="42"/>
      <c r="T24" s="42"/>
      <c r="U24" s="42"/>
      <c r="V24" s="41" t="s">
        <v>26</v>
      </c>
      <c r="W24" s="36"/>
      <c r="X24" s="36"/>
      <c r="Y24" s="36"/>
      <c r="Z24" s="43" t="s">
        <v>34</v>
      </c>
      <c r="AA24" s="42"/>
      <c r="AB24" s="42"/>
      <c r="AC24" s="42"/>
      <c r="AD24" s="42"/>
      <c r="AE24" s="42"/>
      <c r="AF24" s="41" t="s">
        <v>26</v>
      </c>
      <c r="AG24" s="36"/>
      <c r="AH24" s="36"/>
      <c r="AI24" s="36"/>
      <c r="AJ24" s="42"/>
      <c r="AK24" s="42"/>
      <c r="AL24" s="42"/>
      <c r="AM24" s="42"/>
      <c r="AN24" s="42"/>
      <c r="AO24" s="42"/>
      <c r="AP24" s="36"/>
      <c r="AQ24" s="36"/>
      <c r="AR24" s="36"/>
      <c r="AS24" s="36"/>
      <c r="AT24" s="42"/>
      <c r="AU24" s="42"/>
      <c r="AV24" s="42"/>
      <c r="AW24" s="42"/>
      <c r="AX24" s="42"/>
      <c r="AY24" s="42"/>
      <c r="AZ24" s="36"/>
      <c r="BA24" s="36"/>
      <c r="BB24" s="36"/>
      <c r="BC24" s="36"/>
      <c r="BD24" s="39"/>
      <c r="BE24" s="10"/>
    </row>
    <row r="25" spans="7:57" ht="14.4" customHeight="1" x14ac:dyDescent="0.3">
      <c r="G25" s="37"/>
      <c r="H25" s="37"/>
      <c r="I25" s="37"/>
      <c r="J25" s="37"/>
      <c r="K25" s="37"/>
      <c r="L25" s="36"/>
      <c r="M25" s="36"/>
      <c r="N25" s="36"/>
      <c r="O25" s="36"/>
      <c r="P25" s="42"/>
      <c r="Q25" s="42"/>
      <c r="R25" s="42"/>
      <c r="S25" s="42"/>
      <c r="T25" s="42"/>
      <c r="U25" s="42"/>
      <c r="V25" s="36"/>
      <c r="W25" s="36"/>
      <c r="X25" s="36"/>
      <c r="Y25" s="36"/>
      <c r="Z25" s="42"/>
      <c r="AA25" s="42"/>
      <c r="AB25" s="42"/>
      <c r="AC25" s="42"/>
      <c r="AD25" s="42"/>
      <c r="AE25" s="42"/>
      <c r="AF25" s="36"/>
      <c r="AG25" s="36"/>
      <c r="AH25" s="36"/>
      <c r="AI25" s="36"/>
      <c r="AJ25" s="42"/>
      <c r="AK25" s="42"/>
      <c r="AL25" s="42"/>
      <c r="AM25" s="42"/>
      <c r="AN25" s="42"/>
      <c r="AO25" s="42"/>
      <c r="AP25" s="36"/>
      <c r="AQ25" s="36"/>
      <c r="AR25" s="36"/>
      <c r="AS25" s="36"/>
      <c r="AT25" s="42"/>
      <c r="AU25" s="42"/>
      <c r="AV25" s="42"/>
      <c r="AW25" s="42"/>
      <c r="AX25" s="42"/>
      <c r="AY25" s="42"/>
      <c r="AZ25" s="36"/>
      <c r="BA25" s="36"/>
      <c r="BB25" s="36"/>
      <c r="BC25" s="36"/>
      <c r="BD25" s="39"/>
      <c r="BE25" s="10"/>
    </row>
    <row r="26" spans="7:57" x14ac:dyDescent="0.3">
      <c r="G26" s="37"/>
      <c r="H26" s="37"/>
      <c r="I26" s="37"/>
      <c r="J26" s="37"/>
      <c r="K26" s="37"/>
      <c r="L26" s="10"/>
      <c r="M26" s="10"/>
      <c r="N26" s="10"/>
      <c r="O26" s="10"/>
      <c r="P26" s="10"/>
      <c r="Q26" s="10"/>
      <c r="R26" s="10"/>
      <c r="S26" s="10"/>
      <c r="T26" s="10"/>
      <c r="U26" s="10"/>
      <c r="V26" s="10"/>
      <c r="W26" s="10"/>
      <c r="X26" s="10"/>
      <c r="Y26" s="39"/>
      <c r="Z26" s="10"/>
      <c r="AA26" s="10"/>
      <c r="AB26" s="10"/>
      <c r="AC26" s="10"/>
      <c r="AD26" s="10"/>
      <c r="AE26" s="10"/>
      <c r="AF26" s="10"/>
      <c r="AG26" s="10"/>
      <c r="AH26" s="10"/>
      <c r="AI26" s="38" t="s">
        <v>26</v>
      </c>
      <c r="AJ26" s="10"/>
      <c r="AK26" s="10"/>
      <c r="AL26" s="10"/>
      <c r="AM26" s="10"/>
      <c r="AN26" s="10"/>
      <c r="AO26" s="10"/>
      <c r="AP26" s="10"/>
      <c r="AQ26" s="10"/>
      <c r="AR26" s="10"/>
      <c r="AS26" s="39"/>
      <c r="AT26" s="10"/>
      <c r="AU26" s="10"/>
      <c r="AV26" s="10"/>
      <c r="AW26" s="10"/>
      <c r="AX26" s="10"/>
      <c r="AY26" s="10"/>
      <c r="AZ26" s="10"/>
      <c r="BA26" s="10"/>
      <c r="BB26" s="10"/>
      <c r="BC26" s="10"/>
      <c r="BD26" s="39"/>
      <c r="BE26" s="10"/>
    </row>
    <row r="27" spans="7:57" x14ac:dyDescent="0.3">
      <c r="G27" s="35" t="s">
        <v>201</v>
      </c>
      <c r="H27" s="36"/>
      <c r="I27" s="36"/>
      <c r="J27" s="36"/>
      <c r="K27" s="36"/>
      <c r="L27" s="10"/>
      <c r="M27" s="10"/>
      <c r="N27" s="10"/>
      <c r="O27" s="10"/>
      <c r="P27" s="10"/>
      <c r="Q27" s="10"/>
      <c r="R27" s="10"/>
      <c r="S27" s="10"/>
      <c r="T27" s="10"/>
      <c r="U27" s="10"/>
      <c r="V27" s="10"/>
      <c r="W27" s="10"/>
      <c r="X27" s="10"/>
      <c r="Y27" s="39"/>
      <c r="Z27" s="10"/>
      <c r="AA27" s="10"/>
      <c r="AB27" s="10"/>
      <c r="AC27" s="10"/>
      <c r="AD27" s="10"/>
      <c r="AE27" s="10"/>
      <c r="AF27" s="10"/>
      <c r="AG27" s="10"/>
      <c r="AH27" s="10"/>
      <c r="AI27" s="39"/>
      <c r="AJ27" s="10"/>
      <c r="AK27" s="10"/>
      <c r="AL27" s="10"/>
      <c r="AM27" s="10"/>
      <c r="AN27" s="10"/>
      <c r="AO27" s="10"/>
      <c r="AP27" s="10"/>
      <c r="AQ27" s="10"/>
      <c r="AR27" s="10"/>
      <c r="AS27" s="39"/>
      <c r="AT27" s="10"/>
      <c r="AU27" s="10"/>
      <c r="AV27" s="10"/>
      <c r="AW27" s="10"/>
      <c r="AX27" s="10"/>
      <c r="AY27" s="10"/>
      <c r="AZ27" s="10"/>
      <c r="BA27" s="10"/>
      <c r="BB27" s="10"/>
      <c r="BC27" s="10"/>
      <c r="BD27" s="39"/>
      <c r="BE27" s="10"/>
    </row>
    <row r="28" spans="7:57" x14ac:dyDescent="0.3">
      <c r="G28" s="36"/>
      <c r="H28" s="36"/>
      <c r="I28" s="36"/>
      <c r="J28" s="36"/>
      <c r="K28" s="36"/>
      <c r="L28" s="10"/>
      <c r="M28" s="10"/>
      <c r="N28" s="10"/>
      <c r="O28" s="10"/>
      <c r="P28" s="10"/>
      <c r="Q28" s="10"/>
      <c r="R28" s="10"/>
      <c r="S28" s="10"/>
      <c r="T28" s="10"/>
      <c r="U28" s="10"/>
      <c r="V28" s="10"/>
      <c r="W28" s="10"/>
      <c r="X28" s="10"/>
      <c r="Y28" s="39"/>
      <c r="Z28" s="10"/>
      <c r="AA28" s="10"/>
      <c r="AB28" s="10"/>
      <c r="AC28" s="10"/>
      <c r="AD28" s="10"/>
      <c r="AE28" s="10"/>
      <c r="AF28" s="10"/>
      <c r="AG28" s="10"/>
      <c r="AH28" s="10"/>
      <c r="AI28" s="39"/>
      <c r="AJ28" s="10"/>
      <c r="AK28" s="10"/>
      <c r="AL28" s="10"/>
      <c r="AM28" s="10"/>
      <c r="AN28" s="10"/>
      <c r="AO28" s="10"/>
      <c r="AP28" s="10"/>
      <c r="AQ28" s="10"/>
      <c r="AR28" s="10"/>
      <c r="AS28" s="39"/>
      <c r="AT28" s="10"/>
      <c r="AU28" s="10"/>
      <c r="AV28" s="10"/>
      <c r="AW28" s="10"/>
      <c r="AX28" s="10"/>
      <c r="AY28" s="10"/>
      <c r="AZ28" s="10"/>
      <c r="BA28" s="10"/>
      <c r="BB28" s="10"/>
      <c r="BC28" s="10"/>
      <c r="BD28" s="39"/>
      <c r="BE28" s="10"/>
    </row>
    <row r="29" spans="7:57" x14ac:dyDescent="0.3">
      <c r="G29" s="36"/>
      <c r="H29" s="36"/>
      <c r="I29" s="36"/>
      <c r="J29" s="36"/>
      <c r="K29" s="36"/>
      <c r="L29" s="10"/>
      <c r="M29" s="10"/>
      <c r="N29" s="10"/>
      <c r="O29" s="10"/>
      <c r="P29" s="10"/>
      <c r="Q29" s="10"/>
      <c r="R29" s="10"/>
      <c r="S29" s="10"/>
      <c r="T29" s="10"/>
      <c r="U29" s="10"/>
      <c r="V29" s="10"/>
      <c r="W29" s="10"/>
      <c r="X29" s="10"/>
      <c r="Y29" s="39"/>
      <c r="Z29" s="10"/>
      <c r="AA29" s="10"/>
      <c r="AB29" s="10"/>
      <c r="AC29" s="10"/>
      <c r="AD29" s="10"/>
      <c r="AE29" s="10"/>
      <c r="AF29" s="10"/>
      <c r="AG29" s="10"/>
      <c r="AH29" s="10"/>
      <c r="AI29" s="39"/>
      <c r="AJ29" s="10"/>
      <c r="AK29" s="10"/>
      <c r="AL29" s="10"/>
      <c r="AM29" s="10"/>
      <c r="AN29" s="10"/>
      <c r="AO29" s="10"/>
      <c r="AP29" s="10"/>
      <c r="AQ29" s="10"/>
      <c r="AR29" s="10"/>
      <c r="AS29" s="39"/>
      <c r="AT29" s="10"/>
      <c r="AU29" s="10"/>
      <c r="AV29" s="10"/>
      <c r="AW29" s="10"/>
      <c r="AX29" s="10"/>
      <c r="AY29" s="10"/>
      <c r="AZ29" s="10"/>
      <c r="BA29" s="10"/>
      <c r="BB29" s="10"/>
      <c r="BC29" s="10"/>
      <c r="BD29" s="39"/>
      <c r="BE29" s="10"/>
    </row>
    <row r="30" spans="7:57" x14ac:dyDescent="0.3">
      <c r="G30" s="40" t="s">
        <v>200</v>
      </c>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13"/>
    </row>
    <row r="31" spans="7:57" x14ac:dyDescent="0.3">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13"/>
    </row>
    <row r="32" spans="7:57" x14ac:dyDescent="0.3">
      <c r="G32" s="35" t="s">
        <v>201</v>
      </c>
      <c r="H32" s="36"/>
      <c r="I32" s="36"/>
      <c r="J32" s="36"/>
      <c r="K32" s="36"/>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9"/>
    </row>
    <row r="33" spans="7:57" x14ac:dyDescent="0.3">
      <c r="G33" s="36"/>
      <c r="H33" s="36"/>
      <c r="I33" s="36"/>
      <c r="J33" s="36"/>
      <c r="K33" s="36"/>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9"/>
    </row>
    <row r="34" spans="7:57" x14ac:dyDescent="0.3">
      <c r="G34" s="36"/>
      <c r="H34" s="36"/>
      <c r="I34" s="36"/>
      <c r="J34" s="36"/>
      <c r="K34" s="36"/>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9"/>
    </row>
    <row r="35" spans="7:57" x14ac:dyDescent="0.3">
      <c r="G35" s="9"/>
      <c r="H35" s="9"/>
      <c r="I35" s="9"/>
      <c r="J35" s="9"/>
      <c r="K35" s="9"/>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9"/>
    </row>
    <row r="36" spans="7:57" x14ac:dyDescent="0.3">
      <c r="G36" s="9"/>
      <c r="H36" s="9"/>
      <c r="I36" s="9"/>
      <c r="J36" s="9"/>
      <c r="K36" s="9"/>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9"/>
    </row>
    <row r="37" spans="7:57" x14ac:dyDescent="0.3">
      <c r="G37" s="9"/>
      <c r="H37" s="9"/>
      <c r="I37" s="9"/>
      <c r="J37" s="9"/>
      <c r="K37" s="9"/>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9"/>
    </row>
  </sheetData>
  <mergeCells count="53">
    <mergeCell ref="AJ12:AO13"/>
    <mergeCell ref="AT12:AY13"/>
    <mergeCell ref="P16:U17"/>
    <mergeCell ref="Z16:AE17"/>
    <mergeCell ref="AJ16:AO17"/>
    <mergeCell ref="AT16:AY17"/>
    <mergeCell ref="V12:Y13"/>
    <mergeCell ref="V16:Y17"/>
    <mergeCell ref="AJ20:AO21"/>
    <mergeCell ref="AT20:AY21"/>
    <mergeCell ref="P24:U25"/>
    <mergeCell ref="Z24:AE25"/>
    <mergeCell ref="AJ24:AO25"/>
    <mergeCell ref="AT24:AY25"/>
    <mergeCell ref="V20:Y21"/>
    <mergeCell ref="V24:Y25"/>
    <mergeCell ref="L24:O25"/>
    <mergeCell ref="L20:O21"/>
    <mergeCell ref="L16:O17"/>
    <mergeCell ref="L12:O13"/>
    <mergeCell ref="AF12:AI13"/>
    <mergeCell ref="AF16:AI17"/>
    <mergeCell ref="AF20:AI21"/>
    <mergeCell ref="AF24:AI25"/>
    <mergeCell ref="P20:U21"/>
    <mergeCell ref="Z20:AE21"/>
    <mergeCell ref="P12:U13"/>
    <mergeCell ref="Z12:AE13"/>
    <mergeCell ref="AS26:AS29"/>
    <mergeCell ref="AZ12:BC13"/>
    <mergeCell ref="AZ16:BC17"/>
    <mergeCell ref="AZ20:BC21"/>
    <mergeCell ref="AZ24:BC25"/>
    <mergeCell ref="AP12:AS13"/>
    <mergeCell ref="AP16:AS17"/>
    <mergeCell ref="AP20:AS21"/>
    <mergeCell ref="AP24:AS25"/>
    <mergeCell ref="G32:K34"/>
    <mergeCell ref="G11:K26"/>
    <mergeCell ref="Y18:Y19"/>
    <mergeCell ref="Y14:Y15"/>
    <mergeCell ref="AI14:AI15"/>
    <mergeCell ref="AI18:AI19"/>
    <mergeCell ref="AI22:AI23"/>
    <mergeCell ref="Y22:Y23"/>
    <mergeCell ref="Y26:Y29"/>
    <mergeCell ref="AI26:AI29"/>
    <mergeCell ref="G27:K29"/>
    <mergeCell ref="G30:BD31"/>
    <mergeCell ref="BD12:BD29"/>
    <mergeCell ref="AS14:AS15"/>
    <mergeCell ref="AS18:AS19"/>
    <mergeCell ref="AS22:AS23"/>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6" r:id="rId3" name="Button 4">
              <controlPr defaultSize="0" print="0" autoFill="0" autoPict="0" macro="[0]!ColorCells1">
                <anchor moveWithCells="1" sizeWithCells="1">
                  <from>
                    <xdr:col>39</xdr:col>
                    <xdr:colOff>152400</xdr:colOff>
                    <xdr:row>5</xdr:row>
                    <xdr:rowOff>15240</xdr:rowOff>
                  </from>
                  <to>
                    <xdr:col>48</xdr:col>
                    <xdr:colOff>129540</xdr:colOff>
                    <xdr:row>8</xdr:row>
                    <xdr:rowOff>53340</xdr:rowOff>
                  </to>
                </anchor>
              </controlPr>
            </control>
          </mc:Choice>
        </mc:AlternateContent>
        <mc:AlternateContent xmlns:mc="http://schemas.openxmlformats.org/markup-compatibility/2006">
          <mc:Choice Requires="x14">
            <control shapeId="8197" r:id="rId4" name="Button 5">
              <controlPr defaultSize="0" print="0" autoFill="0" autoPict="0" macro="[0]!ClearCells1">
                <anchor moveWithCells="1" sizeWithCells="1">
                  <from>
                    <xdr:col>50</xdr:col>
                    <xdr:colOff>0</xdr:colOff>
                    <xdr:row>5</xdr:row>
                    <xdr:rowOff>22860</xdr:rowOff>
                  </from>
                  <to>
                    <xdr:col>58</xdr:col>
                    <xdr:colOff>76200</xdr:colOff>
                    <xdr:row>8</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C311F0F2-9DEA-4F83-B637-1511D37FE614}">
          <x14:formula1>
            <xm:f>'FUNCTIONAL_GROUP_2 Backend'!$E$7:$E$8</xm:f>
          </x14:formula1>
          <xm:sqref>BD12:BD29</xm:sqref>
        </x14:dataValidation>
        <x14:dataValidation type="list" allowBlank="1" showInputMessage="1" showErrorMessage="1" xr:uid="{8CC7BCCE-EF13-429D-BB6C-5AE627CA673D}">
          <x14:formula1>
            <xm:f>'FUNCTIONAL_GROUP_2 Backend'!$D$7:$D$12</xm:f>
          </x14:formula1>
          <xm:sqref>P12:U13 P16:U17 P20:U21 P24:U25 Z12:AE13 Z16:AE17 Z20:AE21 Z24:AE25 AJ12:AO13 AJ16:AO17 AJ20:AO21 AJ24:AO25 AT12:AY13 AT16:AY17 AT20:AY21 AT24:AY25</xm:sqref>
        </x14:dataValidation>
        <x14:dataValidation type="list" allowBlank="1" showInputMessage="1" showErrorMessage="1" xr:uid="{3FBE65CC-A3EA-4A6F-898E-2531F341F6B3}">
          <x14:formula1>
            <xm:f>'FUNCTIONAL_GROUP_2 Backend'!$E$7:$E$8</xm:f>
          </x14:formula1>
          <xm:sqref>V20:Y21 V24:Y25 L20:O21 L24:O25 L16:O17 L12:O13 V12:Y13 V16:Y17 AF12:AI13 AF16:AI17 AF20:AI21 AF24:AI25 AP12:AS13 AP16:AS17 AP20:AS21 AP24:AS25 AZ24:BC25 AZ20:BC21 AZ16:BC17 AZ12:BC13 Y26:Y29 AI26:AI29 AS26:AS29 Y22:Y23 AI22:AI23 AS22:AS23 AS18:AS19 AI18:AI19 Y18:Y19 Y14:Y15 AI14:AI15 AS14:AS15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F19CD-E47A-4AB2-B170-EE95E4329269}">
  <sheetPr codeName="Tabelle10"/>
  <dimension ref="B5:EU14"/>
  <sheetViews>
    <sheetView topLeftCell="DZ4" workbookViewId="0">
      <selection activeCell="EL23" sqref="EL23"/>
    </sheetView>
  </sheetViews>
  <sheetFormatPr baseColWidth="10" defaultRowHeight="14.4" x14ac:dyDescent="0.3"/>
  <cols>
    <col min="2" max="2" width="33.88671875" customWidth="1"/>
  </cols>
  <sheetData>
    <row r="5" spans="2:151" x14ac:dyDescent="0.3">
      <c r="B5" s="20" t="s">
        <v>187</v>
      </c>
    </row>
    <row r="6" spans="2:151" x14ac:dyDescent="0.3">
      <c r="B6" s="1"/>
    </row>
    <row r="7" spans="2:151" x14ac:dyDescent="0.3">
      <c r="B7" s="1"/>
    </row>
    <row r="8" spans="2:151" x14ac:dyDescent="0.3">
      <c r="C8" t="s">
        <v>10</v>
      </c>
      <c r="D8" t="s">
        <v>11</v>
      </c>
      <c r="E8" t="s">
        <v>10</v>
      </c>
      <c r="F8" t="s">
        <v>11</v>
      </c>
      <c r="G8" t="s">
        <v>10</v>
      </c>
      <c r="H8" t="s">
        <v>11</v>
      </c>
      <c r="I8" t="s">
        <v>10</v>
      </c>
      <c r="J8" t="s">
        <v>11</v>
      </c>
    </row>
    <row r="9" spans="2:151" ht="82.8" customHeight="1" x14ac:dyDescent="0.3">
      <c r="B9" s="1" t="s">
        <v>52</v>
      </c>
      <c r="C9" t="s">
        <v>62</v>
      </c>
      <c r="E9" t="s">
        <v>63</v>
      </c>
      <c r="G9" t="s">
        <v>64</v>
      </c>
      <c r="I9" t="s">
        <v>65</v>
      </c>
      <c r="K9" t="s">
        <v>66</v>
      </c>
      <c r="M9" t="s">
        <v>185</v>
      </c>
      <c r="O9" t="s">
        <v>186</v>
      </c>
      <c r="AE9" s="16"/>
      <c r="AQ9" s="18"/>
    </row>
    <row r="10" spans="2:151" ht="34.200000000000003" customHeight="1" x14ac:dyDescent="0.3">
      <c r="B10" s="1"/>
      <c r="C10">
        <v>90</v>
      </c>
      <c r="D10">
        <v>350</v>
      </c>
      <c r="E10">
        <v>85</v>
      </c>
      <c r="F10">
        <v>200</v>
      </c>
      <c r="G10">
        <v>30</v>
      </c>
      <c r="H10">
        <v>200</v>
      </c>
      <c r="I10">
        <f>80-15</f>
        <v>65</v>
      </c>
      <c r="J10">
        <v>100</v>
      </c>
      <c r="K10">
        <v>100</v>
      </c>
      <c r="L10">
        <v>150</v>
      </c>
      <c r="M10">
        <v>65</v>
      </c>
      <c r="N10">
        <v>60</v>
      </c>
      <c r="O10">
        <v>120</v>
      </c>
      <c r="P10">
        <v>60</v>
      </c>
      <c r="AE10" s="16"/>
      <c r="AQ10" s="18"/>
    </row>
    <row r="12" spans="2:151" ht="25.2" customHeight="1" x14ac:dyDescent="0.3">
      <c r="C12" t="s">
        <v>10</v>
      </c>
      <c r="D12" t="s">
        <v>11</v>
      </c>
      <c r="E12" t="s">
        <v>10</v>
      </c>
      <c r="F12" t="s">
        <v>11</v>
      </c>
      <c r="G12" t="s">
        <v>10</v>
      </c>
      <c r="H12" t="s">
        <v>11</v>
      </c>
      <c r="I12" t="s">
        <v>10</v>
      </c>
      <c r="J12" t="s">
        <v>11</v>
      </c>
      <c r="K12" t="s">
        <v>10</v>
      </c>
      <c r="L12" t="s">
        <v>11</v>
      </c>
      <c r="M12" t="s">
        <v>10</v>
      </c>
      <c r="N12" t="s">
        <v>11</v>
      </c>
      <c r="O12" t="s">
        <v>10</v>
      </c>
      <c r="P12" t="s">
        <v>11</v>
      </c>
      <c r="Q12" t="s">
        <v>10</v>
      </c>
      <c r="R12" t="s">
        <v>11</v>
      </c>
      <c r="S12" t="s">
        <v>10</v>
      </c>
      <c r="T12" t="s">
        <v>11</v>
      </c>
      <c r="U12" t="s">
        <v>10</v>
      </c>
      <c r="V12" t="s">
        <v>11</v>
      </c>
      <c r="W12" t="s">
        <v>10</v>
      </c>
      <c r="X12" t="s">
        <v>11</v>
      </c>
      <c r="Y12" t="s">
        <v>10</v>
      </c>
      <c r="Z12" t="s">
        <v>11</v>
      </c>
      <c r="AA12" t="s">
        <v>10</v>
      </c>
      <c r="AB12" t="s">
        <v>11</v>
      </c>
      <c r="AC12" t="s">
        <v>10</v>
      </c>
      <c r="AD12" t="s">
        <v>11</v>
      </c>
      <c r="AE12" t="s">
        <v>10</v>
      </c>
      <c r="AF12" t="s">
        <v>11</v>
      </c>
      <c r="AG12" t="s">
        <v>10</v>
      </c>
      <c r="AH12" t="s">
        <v>11</v>
      </c>
      <c r="AI12" t="s">
        <v>10</v>
      </c>
      <c r="AJ12" t="s">
        <v>11</v>
      </c>
      <c r="AK12" t="s">
        <v>10</v>
      </c>
      <c r="AL12" t="s">
        <v>11</v>
      </c>
      <c r="AM12" t="s">
        <v>10</v>
      </c>
      <c r="AN12" t="s">
        <v>11</v>
      </c>
      <c r="AO12" t="s">
        <v>10</v>
      </c>
      <c r="AP12" t="s">
        <v>11</v>
      </c>
      <c r="AQ12" t="s">
        <v>10</v>
      </c>
      <c r="AR12" t="s">
        <v>11</v>
      </c>
      <c r="AS12" t="s">
        <v>10</v>
      </c>
      <c r="AT12" t="s">
        <v>11</v>
      </c>
      <c r="AU12" t="s">
        <v>10</v>
      </c>
      <c r="AV12" t="s">
        <v>11</v>
      </c>
      <c r="AW12" t="s">
        <v>10</v>
      </c>
      <c r="AX12" t="s">
        <v>11</v>
      </c>
      <c r="AY12" t="s">
        <v>10</v>
      </c>
      <c r="AZ12" t="s">
        <v>11</v>
      </c>
      <c r="BA12" t="s">
        <v>10</v>
      </c>
      <c r="BB12" t="s">
        <v>11</v>
      </c>
      <c r="BC12" t="s">
        <v>10</v>
      </c>
      <c r="BD12" t="s">
        <v>11</v>
      </c>
      <c r="BE12" t="s">
        <v>10</v>
      </c>
      <c r="BF12" t="s">
        <v>11</v>
      </c>
      <c r="BG12" t="s">
        <v>10</v>
      </c>
      <c r="BH12" t="s">
        <v>11</v>
      </c>
      <c r="BI12" t="s">
        <v>10</v>
      </c>
      <c r="BJ12" t="s">
        <v>11</v>
      </c>
      <c r="BK12" t="s">
        <v>10</v>
      </c>
      <c r="BL12" t="s">
        <v>11</v>
      </c>
      <c r="BM12" t="s">
        <v>10</v>
      </c>
      <c r="BN12" t="s">
        <v>11</v>
      </c>
      <c r="BO12" t="s">
        <v>10</v>
      </c>
      <c r="BP12" t="s">
        <v>11</v>
      </c>
      <c r="BQ12" t="s">
        <v>10</v>
      </c>
      <c r="BR12" t="s">
        <v>11</v>
      </c>
      <c r="BS12" t="s">
        <v>10</v>
      </c>
      <c r="BT12" t="s">
        <v>11</v>
      </c>
      <c r="BU12" t="s">
        <v>10</v>
      </c>
      <c r="BV12" t="s">
        <v>11</v>
      </c>
      <c r="BW12" t="s">
        <v>10</v>
      </c>
      <c r="BX12" t="s">
        <v>11</v>
      </c>
      <c r="BY12" t="s">
        <v>10</v>
      </c>
      <c r="BZ12" t="s">
        <v>11</v>
      </c>
      <c r="CA12" t="s">
        <v>10</v>
      </c>
      <c r="CB12" t="s">
        <v>11</v>
      </c>
      <c r="CC12" t="s">
        <v>10</v>
      </c>
      <c r="CD12" t="s">
        <v>11</v>
      </c>
      <c r="CE12" t="s">
        <v>10</v>
      </c>
      <c r="CF12" t="s">
        <v>11</v>
      </c>
      <c r="CG12" t="s">
        <v>10</v>
      </c>
      <c r="CH12" t="s">
        <v>11</v>
      </c>
      <c r="CI12" t="s">
        <v>10</v>
      </c>
      <c r="CJ12" t="s">
        <v>11</v>
      </c>
      <c r="CK12" t="s">
        <v>10</v>
      </c>
      <c r="CL12" t="s">
        <v>11</v>
      </c>
      <c r="CM12" t="s">
        <v>10</v>
      </c>
      <c r="CN12" t="s">
        <v>11</v>
      </c>
      <c r="CO12" t="s">
        <v>10</v>
      </c>
      <c r="CP12" t="s">
        <v>11</v>
      </c>
      <c r="CQ12" t="s">
        <v>10</v>
      </c>
      <c r="CR12" t="s">
        <v>11</v>
      </c>
      <c r="CS12" t="s">
        <v>10</v>
      </c>
      <c r="CT12" t="s">
        <v>11</v>
      </c>
      <c r="CU12" t="s">
        <v>10</v>
      </c>
      <c r="CV12" t="s">
        <v>11</v>
      </c>
      <c r="CW12" t="s">
        <v>10</v>
      </c>
      <c r="CX12" t="s">
        <v>11</v>
      </c>
      <c r="CY12" t="s">
        <v>10</v>
      </c>
      <c r="CZ12" t="s">
        <v>11</v>
      </c>
      <c r="DA12" t="s">
        <v>10</v>
      </c>
      <c r="DB12" t="s">
        <v>11</v>
      </c>
      <c r="DC12" t="s">
        <v>10</v>
      </c>
      <c r="DD12" t="s">
        <v>11</v>
      </c>
      <c r="DE12" t="s">
        <v>10</v>
      </c>
      <c r="DF12" t="s">
        <v>11</v>
      </c>
      <c r="DG12" t="s">
        <v>10</v>
      </c>
      <c r="DH12" t="s">
        <v>11</v>
      </c>
      <c r="DI12" t="s">
        <v>10</v>
      </c>
      <c r="DJ12" t="s">
        <v>11</v>
      </c>
      <c r="DK12" t="s">
        <v>10</v>
      </c>
      <c r="DL12" t="s">
        <v>11</v>
      </c>
      <c r="DM12" t="s">
        <v>10</v>
      </c>
      <c r="DN12" t="s">
        <v>11</v>
      </c>
      <c r="DO12" t="s">
        <v>10</v>
      </c>
      <c r="DP12" t="s">
        <v>11</v>
      </c>
      <c r="DQ12" t="s">
        <v>10</v>
      </c>
      <c r="DR12" t="s">
        <v>11</v>
      </c>
      <c r="DS12" t="s">
        <v>10</v>
      </c>
      <c r="DT12" t="s">
        <v>11</v>
      </c>
      <c r="DU12" t="s">
        <v>10</v>
      </c>
      <c r="DV12" t="s">
        <v>11</v>
      </c>
      <c r="DW12" t="s">
        <v>10</v>
      </c>
      <c r="DX12" t="s">
        <v>11</v>
      </c>
      <c r="DY12" t="s">
        <v>10</v>
      </c>
      <c r="DZ12" t="s">
        <v>11</v>
      </c>
      <c r="EA12" t="s">
        <v>10</v>
      </c>
      <c r="EB12" t="s">
        <v>11</v>
      </c>
      <c r="EC12" t="s">
        <v>10</v>
      </c>
      <c r="ED12" t="s">
        <v>11</v>
      </c>
      <c r="EE12" t="s">
        <v>10</v>
      </c>
      <c r="EF12" t="s">
        <v>11</v>
      </c>
      <c r="EG12" t="s">
        <v>10</v>
      </c>
      <c r="EH12" t="s">
        <v>11</v>
      </c>
      <c r="EI12" t="s">
        <v>10</v>
      </c>
      <c r="EJ12" t="s">
        <v>11</v>
      </c>
      <c r="EK12" t="s">
        <v>10</v>
      </c>
      <c r="EL12" t="s">
        <v>11</v>
      </c>
      <c r="EM12" t="s">
        <v>10</v>
      </c>
      <c r="EN12" t="s">
        <v>11</v>
      </c>
      <c r="EO12" t="s">
        <v>10</v>
      </c>
      <c r="EP12" t="s">
        <v>11</v>
      </c>
      <c r="EQ12" t="s">
        <v>10</v>
      </c>
      <c r="ER12" t="s">
        <v>11</v>
      </c>
      <c r="ES12" t="s">
        <v>10</v>
      </c>
      <c r="ET12" t="s">
        <v>11</v>
      </c>
      <c r="EU12" t="s">
        <v>202</v>
      </c>
    </row>
    <row r="13" spans="2:151" x14ac:dyDescent="0.3">
      <c r="B13" s="19" t="s">
        <v>74</v>
      </c>
      <c r="C13" t="s">
        <v>125</v>
      </c>
      <c r="D13" s="16"/>
      <c r="E13" t="s">
        <v>126</v>
      </c>
      <c r="G13" t="s">
        <v>127</v>
      </c>
      <c r="I13" t="s">
        <v>128</v>
      </c>
      <c r="K13" t="s">
        <v>129</v>
      </c>
      <c r="M13" t="s">
        <v>130</v>
      </c>
      <c r="O13" t="s">
        <v>131</v>
      </c>
      <c r="Q13" t="s">
        <v>132</v>
      </c>
      <c r="S13" t="s">
        <v>76</v>
      </c>
      <c r="U13" t="s">
        <v>83</v>
      </c>
      <c r="W13" t="s">
        <v>84</v>
      </c>
      <c r="Y13" t="s">
        <v>85</v>
      </c>
      <c r="AA13" t="s">
        <v>133</v>
      </c>
      <c r="AC13" t="s">
        <v>134</v>
      </c>
      <c r="AE13" t="s">
        <v>135</v>
      </c>
      <c r="AG13" t="s">
        <v>136</v>
      </c>
      <c r="AI13" t="s">
        <v>90</v>
      </c>
      <c r="AK13" t="s">
        <v>91</v>
      </c>
      <c r="AM13" t="s">
        <v>92</v>
      </c>
      <c r="AO13" t="s">
        <v>93</v>
      </c>
      <c r="AQ13" t="s">
        <v>137</v>
      </c>
      <c r="AS13" t="s">
        <v>138</v>
      </c>
      <c r="AU13" t="s">
        <v>139</v>
      </c>
      <c r="AW13" t="s">
        <v>140</v>
      </c>
      <c r="AY13" t="s">
        <v>94</v>
      </c>
      <c r="BA13" t="s">
        <v>95</v>
      </c>
      <c r="BC13" t="s">
        <v>96</v>
      </c>
      <c r="BE13" t="s">
        <v>97</v>
      </c>
      <c r="BG13" t="s">
        <v>141</v>
      </c>
      <c r="BI13" t="s">
        <v>142</v>
      </c>
      <c r="BK13" t="s">
        <v>143</v>
      </c>
      <c r="BM13" t="s">
        <v>144</v>
      </c>
      <c r="BO13" t="s">
        <v>102</v>
      </c>
      <c r="BQ13" t="s">
        <v>103</v>
      </c>
      <c r="BS13" t="s">
        <v>104</v>
      </c>
      <c r="BU13" t="s">
        <v>105</v>
      </c>
      <c r="BW13" t="s">
        <v>145</v>
      </c>
      <c r="BY13" t="s">
        <v>146</v>
      </c>
      <c r="CA13" t="s">
        <v>147</v>
      </c>
      <c r="CC13" t="s">
        <v>148</v>
      </c>
      <c r="CE13" t="s">
        <v>106</v>
      </c>
      <c r="CG13" t="s">
        <v>107</v>
      </c>
      <c r="CI13" t="s">
        <v>108</v>
      </c>
      <c r="CK13" t="s">
        <v>109</v>
      </c>
      <c r="CM13" t="s">
        <v>149</v>
      </c>
      <c r="CO13" t="s">
        <v>150</v>
      </c>
      <c r="CQ13" t="s">
        <v>151</v>
      </c>
      <c r="CS13" t="s">
        <v>152</v>
      </c>
      <c r="CU13" t="s">
        <v>114</v>
      </c>
      <c r="CW13" t="s">
        <v>153</v>
      </c>
      <c r="CY13" t="s">
        <v>116</v>
      </c>
      <c r="DA13" t="s">
        <v>117</v>
      </c>
      <c r="DC13" t="s">
        <v>154</v>
      </c>
      <c r="DE13" t="s">
        <v>155</v>
      </c>
      <c r="DG13" t="s">
        <v>156</v>
      </c>
      <c r="DI13" t="s">
        <v>157</v>
      </c>
      <c r="DK13" t="s">
        <v>118</v>
      </c>
      <c r="DM13" t="s">
        <v>119</v>
      </c>
      <c r="DO13" t="s">
        <v>120</v>
      </c>
      <c r="DQ13" t="s">
        <v>121</v>
      </c>
      <c r="DS13" t="s">
        <v>158</v>
      </c>
      <c r="DU13" t="s">
        <v>159</v>
      </c>
      <c r="DW13" t="s">
        <v>160</v>
      </c>
      <c r="DY13" t="s">
        <v>161</v>
      </c>
      <c r="EA13" t="s">
        <v>162</v>
      </c>
      <c r="EC13" t="s">
        <v>163</v>
      </c>
      <c r="EE13" t="s">
        <v>164</v>
      </c>
      <c r="EG13" t="s">
        <v>165</v>
      </c>
      <c r="EI13" t="s">
        <v>166</v>
      </c>
      <c r="EK13" t="s">
        <v>167</v>
      </c>
      <c r="EM13" t="s">
        <v>168</v>
      </c>
      <c r="EO13" t="s">
        <v>169</v>
      </c>
      <c r="EQ13" t="s">
        <v>170</v>
      </c>
      <c r="ES13" s="16" t="s">
        <v>122</v>
      </c>
    </row>
    <row r="14" spans="2:151" x14ac:dyDescent="0.3">
      <c r="C14">
        <v>100</v>
      </c>
      <c r="D14">
        <v>150</v>
      </c>
      <c r="E14">
        <v>100</v>
      </c>
      <c r="F14">
        <v>200</v>
      </c>
      <c r="G14">
        <v>100</v>
      </c>
      <c r="H14">
        <v>250</v>
      </c>
      <c r="I14">
        <v>100</v>
      </c>
      <c r="J14">
        <v>300</v>
      </c>
      <c r="K14">
        <v>100</v>
      </c>
      <c r="L14">
        <v>243</v>
      </c>
      <c r="M14">
        <v>100</v>
      </c>
      <c r="N14">
        <v>273</v>
      </c>
      <c r="O14">
        <v>100</v>
      </c>
      <c r="P14">
        <v>303</v>
      </c>
      <c r="Q14">
        <v>100</v>
      </c>
      <c r="R14">
        <v>333</v>
      </c>
      <c r="S14">
        <v>150</v>
      </c>
      <c r="T14">
        <v>240</v>
      </c>
      <c r="U14">
        <v>150</v>
      </c>
      <c r="V14">
        <v>270</v>
      </c>
      <c r="W14">
        <v>150</v>
      </c>
      <c r="X14">
        <v>300</v>
      </c>
      <c r="Y14">
        <v>150</v>
      </c>
      <c r="Z14">
        <v>330</v>
      </c>
      <c r="AA14">
        <v>220</v>
      </c>
      <c r="AB14">
        <v>243</v>
      </c>
      <c r="AC14">
        <v>220</v>
      </c>
      <c r="AD14">
        <v>273</v>
      </c>
      <c r="AE14">
        <v>220</v>
      </c>
      <c r="AF14">
        <v>303</v>
      </c>
      <c r="AG14">
        <v>220</v>
      </c>
      <c r="AH14">
        <v>333</v>
      </c>
      <c r="AI14">
        <v>200</v>
      </c>
      <c r="AJ14">
        <v>150</v>
      </c>
      <c r="AK14">
        <v>200</v>
      </c>
      <c r="AL14">
        <v>200</v>
      </c>
      <c r="AM14">
        <v>200</v>
      </c>
      <c r="AN14">
        <v>250</v>
      </c>
      <c r="AO14">
        <v>200</v>
      </c>
      <c r="AP14">
        <v>300</v>
      </c>
      <c r="AQ14">
        <v>200</v>
      </c>
      <c r="AR14">
        <v>150</v>
      </c>
      <c r="AS14">
        <v>200</v>
      </c>
      <c r="AT14">
        <v>200</v>
      </c>
      <c r="AU14">
        <v>200</v>
      </c>
      <c r="AV14">
        <v>250</v>
      </c>
      <c r="AW14">
        <v>200</v>
      </c>
      <c r="AX14">
        <v>300</v>
      </c>
      <c r="AY14">
        <v>250</v>
      </c>
      <c r="AZ14">
        <v>240</v>
      </c>
      <c r="BA14">
        <v>250</v>
      </c>
      <c r="BB14">
        <v>270</v>
      </c>
      <c r="BC14">
        <v>250</v>
      </c>
      <c r="BD14">
        <v>300</v>
      </c>
      <c r="BE14">
        <v>250</v>
      </c>
      <c r="BF14">
        <v>330</v>
      </c>
      <c r="BG14">
        <v>320</v>
      </c>
      <c r="BH14">
        <v>243</v>
      </c>
      <c r="BI14">
        <v>320</v>
      </c>
      <c r="BJ14">
        <v>273</v>
      </c>
      <c r="BK14">
        <v>320</v>
      </c>
      <c r="BL14">
        <v>303</v>
      </c>
      <c r="BM14">
        <v>320</v>
      </c>
      <c r="BN14">
        <v>333</v>
      </c>
      <c r="BO14">
        <v>300</v>
      </c>
      <c r="BP14">
        <v>150</v>
      </c>
      <c r="BQ14">
        <v>300</v>
      </c>
      <c r="BR14">
        <v>200</v>
      </c>
      <c r="BS14">
        <v>300</v>
      </c>
      <c r="BT14">
        <v>250</v>
      </c>
      <c r="BU14">
        <v>300</v>
      </c>
      <c r="BV14">
        <v>300</v>
      </c>
      <c r="BW14">
        <v>300</v>
      </c>
      <c r="BX14">
        <v>150</v>
      </c>
      <c r="BY14">
        <v>300</v>
      </c>
      <c r="BZ14">
        <v>200</v>
      </c>
      <c r="CA14">
        <v>300</v>
      </c>
      <c r="CB14">
        <v>250</v>
      </c>
      <c r="CC14">
        <v>300</v>
      </c>
      <c r="CD14">
        <v>300</v>
      </c>
      <c r="CE14">
        <v>350</v>
      </c>
      <c r="CF14">
        <v>240</v>
      </c>
      <c r="CG14">
        <v>350</v>
      </c>
      <c r="CH14">
        <v>270</v>
      </c>
      <c r="CI14">
        <v>350</v>
      </c>
      <c r="CJ14">
        <v>300</v>
      </c>
      <c r="CK14">
        <v>350</v>
      </c>
      <c r="CL14">
        <v>330</v>
      </c>
      <c r="CM14">
        <v>420</v>
      </c>
      <c r="CN14">
        <v>243</v>
      </c>
      <c r="CO14">
        <v>420</v>
      </c>
      <c r="CP14">
        <v>273</v>
      </c>
      <c r="CQ14">
        <v>420</v>
      </c>
      <c r="CR14">
        <v>303</v>
      </c>
      <c r="CS14">
        <v>420</v>
      </c>
      <c r="CT14">
        <v>333</v>
      </c>
      <c r="CU14">
        <v>400</v>
      </c>
      <c r="CV14">
        <v>150</v>
      </c>
      <c r="CW14">
        <v>400</v>
      </c>
      <c r="CX14">
        <v>200</v>
      </c>
      <c r="CY14">
        <v>400</v>
      </c>
      <c r="CZ14">
        <v>250</v>
      </c>
      <c r="DA14">
        <v>400</v>
      </c>
      <c r="DB14">
        <v>300</v>
      </c>
      <c r="DC14">
        <v>400</v>
      </c>
      <c r="DD14">
        <v>150</v>
      </c>
      <c r="DE14">
        <v>400</v>
      </c>
      <c r="DF14">
        <v>200</v>
      </c>
      <c r="DG14">
        <v>400</v>
      </c>
      <c r="DH14">
        <v>250</v>
      </c>
      <c r="DI14">
        <v>400</v>
      </c>
      <c r="DJ14">
        <v>300</v>
      </c>
      <c r="DK14">
        <v>450</v>
      </c>
      <c r="DL14">
        <v>240</v>
      </c>
      <c r="DM14">
        <v>450</v>
      </c>
      <c r="DN14">
        <v>270</v>
      </c>
      <c r="DO14">
        <v>450</v>
      </c>
      <c r="DP14">
        <v>300</v>
      </c>
      <c r="DQ14">
        <v>450</v>
      </c>
      <c r="DR14">
        <v>330</v>
      </c>
      <c r="DS14">
        <v>520</v>
      </c>
      <c r="DT14">
        <v>243</v>
      </c>
      <c r="DU14">
        <v>520</v>
      </c>
      <c r="DV14">
        <v>273</v>
      </c>
      <c r="DW14">
        <v>520</v>
      </c>
      <c r="DX14">
        <v>303</v>
      </c>
      <c r="DY14">
        <v>520</v>
      </c>
      <c r="DZ14">
        <v>333</v>
      </c>
      <c r="EA14">
        <v>500</v>
      </c>
      <c r="EB14">
        <v>150</v>
      </c>
      <c r="EC14">
        <v>500</v>
      </c>
      <c r="ED14">
        <v>200</v>
      </c>
      <c r="EE14">
        <v>500</v>
      </c>
      <c r="EF14">
        <v>250</v>
      </c>
      <c r="EG14">
        <v>500</v>
      </c>
      <c r="EH14">
        <v>300</v>
      </c>
      <c r="EI14">
        <v>92</v>
      </c>
      <c r="EJ14">
        <v>210</v>
      </c>
      <c r="EK14">
        <v>100</v>
      </c>
      <c r="EL14">
        <v>160</v>
      </c>
      <c r="EM14">
        <v>160</v>
      </c>
      <c r="EN14">
        <v>150</v>
      </c>
      <c r="EO14">
        <v>145</v>
      </c>
      <c r="EP14">
        <v>120</v>
      </c>
      <c r="EQ14">
        <v>100</v>
      </c>
      <c r="ER14">
        <v>40</v>
      </c>
      <c r="ES14">
        <v>70</v>
      </c>
      <c r="ET14">
        <v>350</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AA3FC-0571-4814-BC21-F18F4D4FF256}">
  <sheetPr codeName="Tabelle8"/>
  <dimension ref="C4:O312"/>
  <sheetViews>
    <sheetView topLeftCell="A13" zoomScale="127" workbookViewId="0">
      <selection activeCell="G26" sqref="G26"/>
    </sheetView>
  </sheetViews>
  <sheetFormatPr baseColWidth="10" defaultRowHeight="14.4" x14ac:dyDescent="0.3"/>
  <cols>
    <col min="4" max="4" width="22" customWidth="1"/>
    <col min="5" max="5" width="13.33203125" customWidth="1"/>
  </cols>
  <sheetData>
    <row r="4" spans="3:13" x14ac:dyDescent="0.3">
      <c r="C4" t="s">
        <v>43</v>
      </c>
    </row>
    <row r="8" spans="3:13" x14ac:dyDescent="0.3">
      <c r="E8" t="s">
        <v>44</v>
      </c>
      <c r="F8" t="s">
        <v>45</v>
      </c>
    </row>
    <row r="9" spans="3:13" x14ac:dyDescent="0.3">
      <c r="D9" t="s">
        <v>46</v>
      </c>
      <c r="E9" t="s">
        <v>197</v>
      </c>
      <c r="F9" t="str">
        <f>'FUNCTIONAL_GROUP_1 Frontend'!AF5</f>
        <v>Project XY</v>
      </c>
    </row>
    <row r="10" spans="3:13" x14ac:dyDescent="0.3">
      <c r="D10" t="s">
        <v>46</v>
      </c>
      <c r="E10" t="s">
        <v>23</v>
      </c>
      <c r="F10" t="str">
        <f>'FUNCTIONAL_GROUP_1 Frontend'!AF6</f>
        <v>Mr. Bean</v>
      </c>
    </row>
    <row r="11" spans="3:13" x14ac:dyDescent="0.3">
      <c r="D11" t="s">
        <v>46</v>
      </c>
      <c r="E11" t="s">
        <v>47</v>
      </c>
    </row>
    <row r="12" spans="3:13" x14ac:dyDescent="0.3">
      <c r="D12" t="s">
        <v>46</v>
      </c>
      <c r="E12" t="s">
        <v>48</v>
      </c>
    </row>
    <row r="13" spans="3:13" x14ac:dyDescent="0.3">
      <c r="D13" t="s">
        <v>49</v>
      </c>
      <c r="E13" t="s">
        <v>22</v>
      </c>
    </row>
    <row r="14" spans="3:13" x14ac:dyDescent="0.3">
      <c r="D14" t="s">
        <v>50</v>
      </c>
    </row>
    <row r="15" spans="3:13" x14ac:dyDescent="0.3">
      <c r="D15" t="s">
        <v>51</v>
      </c>
      <c r="E15" t="s">
        <v>52</v>
      </c>
    </row>
    <row r="16" spans="3:13" x14ac:dyDescent="0.3">
      <c r="D16" t="s">
        <v>53</v>
      </c>
      <c r="E16" t="s">
        <v>54</v>
      </c>
      <c r="F16" t="str">
        <f>'FUNCTIONAL_GROUP_1 Frontend'!BD6</f>
        <v>Type 1</v>
      </c>
      <c r="M16" t="s">
        <v>178</v>
      </c>
    </row>
    <row r="17" spans="4:15" x14ac:dyDescent="0.3">
      <c r="D17" t="s">
        <v>58</v>
      </c>
      <c r="E17" t="s">
        <v>59</v>
      </c>
    </row>
    <row r="18" spans="4:15" x14ac:dyDescent="0.3">
      <c r="D18" t="s">
        <v>60</v>
      </c>
      <c r="E18" t="s">
        <v>62</v>
      </c>
    </row>
    <row r="19" spans="4:15" x14ac:dyDescent="0.3">
      <c r="D19" t="s">
        <v>61</v>
      </c>
      <c r="E19" t="s">
        <v>71</v>
      </c>
      <c r="F19" t="s">
        <v>26</v>
      </c>
      <c r="M19" s="17" t="s">
        <v>181</v>
      </c>
    </row>
    <row r="20" spans="4:15" ht="15" thickBot="1" x14ac:dyDescent="0.35">
      <c r="D20" t="s">
        <v>61</v>
      </c>
      <c r="E20" t="s">
        <v>188</v>
      </c>
      <c r="M20" s="17"/>
    </row>
    <row r="21" spans="4:15" x14ac:dyDescent="0.3">
      <c r="D21" t="s">
        <v>72</v>
      </c>
      <c r="E21" t="str">
        <f>'FUNCTIONAL_GROUP_1 Frontend'!T12</f>
        <v>Device 1</v>
      </c>
      <c r="M21" s="29" t="s">
        <v>82</v>
      </c>
      <c r="N21" s="30"/>
    </row>
    <row r="22" spans="4:15" x14ac:dyDescent="0.3">
      <c r="D22" t="s">
        <v>60</v>
      </c>
      <c r="E22" t="s">
        <v>63</v>
      </c>
      <c r="M22" s="31"/>
      <c r="N22" s="32"/>
      <c r="O22" t="s">
        <v>183</v>
      </c>
    </row>
    <row r="23" spans="4:15" x14ac:dyDescent="0.3">
      <c r="D23" t="s">
        <v>61</v>
      </c>
      <c r="E23" t="s">
        <v>71</v>
      </c>
      <c r="F23" t="str">
        <f>'FUNCTIONAL_GROUP_1 Frontend'!T31</f>
        <v>+</v>
      </c>
      <c r="L23" s="17" t="s">
        <v>182</v>
      </c>
      <c r="M23" s="31"/>
      <c r="N23" s="32"/>
    </row>
    <row r="24" spans="4:15" x14ac:dyDescent="0.3">
      <c r="D24" t="s">
        <v>61</v>
      </c>
      <c r="E24" t="s">
        <v>188</v>
      </c>
      <c r="L24" s="17"/>
      <c r="M24" s="31"/>
      <c r="N24" s="32"/>
    </row>
    <row r="25" spans="4:15" ht="15" thickBot="1" x14ac:dyDescent="0.35">
      <c r="D25" t="s">
        <v>72</v>
      </c>
      <c r="E25" t="str">
        <f>'FUNCTIONAL_GROUP_1 Frontend'!O27</f>
        <v>Device 2</v>
      </c>
      <c r="M25" s="33"/>
      <c r="N25" s="34"/>
    </row>
    <row r="26" spans="4:15" x14ac:dyDescent="0.3">
      <c r="D26" t="s">
        <v>60</v>
      </c>
      <c r="E26" t="s">
        <v>64</v>
      </c>
      <c r="M26" s="17" t="s">
        <v>180</v>
      </c>
    </row>
    <row r="27" spans="4:15" x14ac:dyDescent="0.3">
      <c r="D27" t="s">
        <v>61</v>
      </c>
      <c r="E27" t="s">
        <v>71</v>
      </c>
      <c r="F27" t="str">
        <f>'FUNCTIONAL_GROUP_1 Frontend'!K32</f>
        <v/>
      </c>
    </row>
    <row r="28" spans="4:15" x14ac:dyDescent="0.3">
      <c r="D28" t="s">
        <v>61</v>
      </c>
      <c r="E28" t="s">
        <v>188</v>
      </c>
    </row>
    <row r="29" spans="4:15" x14ac:dyDescent="0.3">
      <c r="D29" t="s">
        <v>72</v>
      </c>
      <c r="E29" t="str">
        <f>'FUNCTIONAL_GROUP_1 Frontend'!F27</f>
        <v>Device 3</v>
      </c>
    </row>
    <row r="30" spans="4:15" x14ac:dyDescent="0.3">
      <c r="D30" t="s">
        <v>72</v>
      </c>
      <c r="E30" t="s">
        <v>75</v>
      </c>
    </row>
    <row r="31" spans="4:15" x14ac:dyDescent="0.3">
      <c r="D31" t="s">
        <v>190</v>
      </c>
      <c r="E31" t="str">
        <f>'FUNCTIONAL_GROUP_1 Frontend'!F26</f>
        <v>Example Text</v>
      </c>
    </row>
    <row r="32" spans="4:15" x14ac:dyDescent="0.3">
      <c r="D32" t="s">
        <v>191</v>
      </c>
      <c r="E32" t="s">
        <v>192</v>
      </c>
      <c r="F32">
        <v>10</v>
      </c>
    </row>
    <row r="33" spans="4:6" x14ac:dyDescent="0.3">
      <c r="D33" t="s">
        <v>191</v>
      </c>
      <c r="E33" t="s">
        <v>193</v>
      </c>
      <c r="F33">
        <v>30</v>
      </c>
    </row>
    <row r="34" spans="4:6" x14ac:dyDescent="0.3">
      <c r="D34" t="s">
        <v>191</v>
      </c>
      <c r="E34" t="s">
        <v>195</v>
      </c>
      <c r="F34">
        <v>17</v>
      </c>
    </row>
    <row r="35" spans="4:6" x14ac:dyDescent="0.3">
      <c r="D35" t="s">
        <v>191</v>
      </c>
      <c r="E35" t="s">
        <v>196</v>
      </c>
      <c r="F35">
        <v>8</v>
      </c>
    </row>
    <row r="36" spans="4:6" x14ac:dyDescent="0.3">
      <c r="D36" t="s">
        <v>60</v>
      </c>
      <c r="E36" t="s">
        <v>65</v>
      </c>
    </row>
    <row r="37" spans="4:6" x14ac:dyDescent="0.3">
      <c r="D37" t="s">
        <v>61</v>
      </c>
      <c r="E37" t="s">
        <v>71</v>
      </c>
      <c r="F37" t="str">
        <f>'FUNCTIONAL_GROUP_1 Frontend'!$R$47</f>
        <v/>
      </c>
    </row>
    <row r="38" spans="4:6" x14ac:dyDescent="0.3">
      <c r="D38" t="s">
        <v>61</v>
      </c>
      <c r="E38" t="s">
        <v>188</v>
      </c>
    </row>
    <row r="39" spans="4:6" x14ac:dyDescent="0.3">
      <c r="D39" t="s">
        <v>72</v>
      </c>
      <c r="E39" t="str">
        <f>'FUNCTIONAL_GROUP_1 Frontend'!M41</f>
        <v>Device 4</v>
      </c>
    </row>
    <row r="40" spans="4:6" x14ac:dyDescent="0.3">
      <c r="D40" t="s">
        <v>60</v>
      </c>
      <c r="E40" t="s">
        <v>66</v>
      </c>
    </row>
    <row r="41" spans="4:6" x14ac:dyDescent="0.3">
      <c r="D41" t="s">
        <v>61</v>
      </c>
      <c r="E41" t="s">
        <v>71</v>
      </c>
      <c r="F41" t="str">
        <f>'FUNCTIONAL_GROUP_1 Frontend'!AG47</f>
        <v>+</v>
      </c>
    </row>
    <row r="42" spans="4:6" x14ac:dyDescent="0.3">
      <c r="D42" t="s">
        <v>61</v>
      </c>
      <c r="E42" t="s">
        <v>188</v>
      </c>
    </row>
    <row r="43" spans="4:6" x14ac:dyDescent="0.3">
      <c r="D43" t="s">
        <v>72</v>
      </c>
      <c r="E43" t="str">
        <f>'FUNCTIONAL_GROUP_1 Frontend'!AE41</f>
        <v>Device 7</v>
      </c>
    </row>
    <row r="44" spans="4:6" x14ac:dyDescent="0.3">
      <c r="D44" t="s">
        <v>60</v>
      </c>
      <c r="E44" t="s">
        <v>185</v>
      </c>
    </row>
    <row r="45" spans="4:6" x14ac:dyDescent="0.3">
      <c r="D45" t="s">
        <v>61</v>
      </c>
      <c r="E45" t="s">
        <v>71</v>
      </c>
      <c r="F45" t="str">
        <f>'FUNCTIONAL_GROUP_1 Frontend'!$R$47</f>
        <v/>
      </c>
    </row>
    <row r="46" spans="4:6" x14ac:dyDescent="0.3">
      <c r="D46" t="s">
        <v>61</v>
      </c>
      <c r="E46" t="s">
        <v>188</v>
      </c>
    </row>
    <row r="47" spans="4:6" x14ac:dyDescent="0.3">
      <c r="D47" t="s">
        <v>72</v>
      </c>
      <c r="E47" t="str">
        <f>'FUNCTIONAL_GROUP_1 Frontend'!N57</f>
        <v>Device 5</v>
      </c>
    </row>
    <row r="48" spans="4:6" x14ac:dyDescent="0.3">
      <c r="D48" t="s">
        <v>60</v>
      </c>
      <c r="E48" t="str">
        <f>'FUNCTIONAL_GROUP_1 Frontend'!Z58</f>
        <v xml:space="preserve"> 7.0</v>
      </c>
    </row>
    <row r="49" spans="4:6" x14ac:dyDescent="0.3">
      <c r="D49" t="s">
        <v>61</v>
      </c>
      <c r="E49" t="s">
        <v>71</v>
      </c>
      <c r="F49" t="str">
        <f>'FUNCTIONAL_GROUP_1 Frontend'!$R$47</f>
        <v/>
      </c>
    </row>
    <row r="50" spans="4:6" x14ac:dyDescent="0.3">
      <c r="D50" t="s">
        <v>61</v>
      </c>
      <c r="E50" t="s">
        <v>188</v>
      </c>
    </row>
    <row r="51" spans="4:6" x14ac:dyDescent="0.3">
      <c r="D51" t="s">
        <v>72</v>
      </c>
      <c r="E51" t="s">
        <v>38</v>
      </c>
    </row>
    <row r="52" spans="4:6" x14ac:dyDescent="0.3">
      <c r="D52" t="s">
        <v>60</v>
      </c>
      <c r="E52" t="s">
        <v>67</v>
      </c>
    </row>
    <row r="53" spans="4:6" x14ac:dyDescent="0.3">
      <c r="D53" t="s">
        <v>61</v>
      </c>
      <c r="E53" t="s">
        <v>189</v>
      </c>
    </row>
    <row r="54" spans="4:6" x14ac:dyDescent="0.3">
      <c r="D54" t="s">
        <v>61</v>
      </c>
      <c r="E54" t="s">
        <v>71</v>
      </c>
      <c r="F54" t="str">
        <f>'FUNCTIONAL_GROUP_1 Frontend'!W24</f>
        <v>+</v>
      </c>
    </row>
    <row r="55" spans="4:6" x14ac:dyDescent="0.3">
      <c r="D55" t="s">
        <v>61</v>
      </c>
      <c r="E55" t="s">
        <v>172</v>
      </c>
      <c r="F55" t="s">
        <v>62</v>
      </c>
    </row>
    <row r="56" spans="4:6" x14ac:dyDescent="0.3">
      <c r="D56" t="s">
        <v>61</v>
      </c>
      <c r="E56" t="s">
        <v>173</v>
      </c>
      <c r="F56" t="str">
        <f>'FUNCTIONAL_GROUP_1 Frontend'!T12</f>
        <v>Device 1</v>
      </c>
    </row>
    <row r="57" spans="4:6" x14ac:dyDescent="0.3">
      <c r="D57" t="s">
        <v>61</v>
      </c>
      <c r="E57" t="s">
        <v>174</v>
      </c>
      <c r="F57" t="s">
        <v>180</v>
      </c>
    </row>
    <row r="58" spans="4:6" x14ac:dyDescent="0.3">
      <c r="D58" t="s">
        <v>61</v>
      </c>
      <c r="E58" t="s">
        <v>175</v>
      </c>
      <c r="F58" t="s">
        <v>63</v>
      </c>
    </row>
    <row r="59" spans="4:6" x14ac:dyDescent="0.3">
      <c r="D59" t="s">
        <v>61</v>
      </c>
      <c r="E59" t="s">
        <v>176</v>
      </c>
      <c r="F59" t="str">
        <f>'FUNCTIONAL_GROUP_1 Frontend'!O27</f>
        <v>Device 2</v>
      </c>
    </row>
    <row r="60" spans="4:6" x14ac:dyDescent="0.3">
      <c r="D60" t="s">
        <v>61</v>
      </c>
      <c r="E60" t="s">
        <v>177</v>
      </c>
      <c r="F60" t="s">
        <v>181</v>
      </c>
    </row>
    <row r="61" spans="4:6" x14ac:dyDescent="0.3">
      <c r="D61" t="s">
        <v>72</v>
      </c>
      <c r="E61" t="s">
        <v>78</v>
      </c>
    </row>
    <row r="62" spans="4:6" x14ac:dyDescent="0.3">
      <c r="D62" t="s">
        <v>60</v>
      </c>
      <c r="E62" t="s">
        <v>68</v>
      </c>
    </row>
    <row r="63" spans="4:6" x14ac:dyDescent="0.3">
      <c r="D63" t="s">
        <v>61</v>
      </c>
      <c r="E63" t="s">
        <v>189</v>
      </c>
    </row>
    <row r="64" spans="4:6" x14ac:dyDescent="0.3">
      <c r="D64" t="s">
        <v>61</v>
      </c>
      <c r="E64" t="s">
        <v>71</v>
      </c>
      <c r="F64" t="str">
        <f>'FUNCTIONAL_GROUP_1 Frontend'!L28</f>
        <v/>
      </c>
    </row>
    <row r="65" spans="4:6" x14ac:dyDescent="0.3">
      <c r="D65" t="s">
        <v>61</v>
      </c>
      <c r="E65" t="s">
        <v>172</v>
      </c>
      <c r="F65" t="s">
        <v>63</v>
      </c>
    </row>
    <row r="66" spans="4:6" x14ac:dyDescent="0.3">
      <c r="D66" t="s">
        <v>61</v>
      </c>
      <c r="E66" t="s">
        <v>173</v>
      </c>
      <c r="F66" t="str">
        <f>'FUNCTIONAL_GROUP_1 Frontend'!O27</f>
        <v>Device 2</v>
      </c>
    </row>
    <row r="67" spans="4:6" x14ac:dyDescent="0.3">
      <c r="D67" t="s">
        <v>61</v>
      </c>
      <c r="E67" t="s">
        <v>174</v>
      </c>
      <c r="F67" t="s">
        <v>182</v>
      </c>
    </row>
    <row r="68" spans="4:6" x14ac:dyDescent="0.3">
      <c r="D68" t="s">
        <v>61</v>
      </c>
      <c r="E68" t="s">
        <v>175</v>
      </c>
      <c r="F68" t="s">
        <v>64</v>
      </c>
    </row>
    <row r="69" spans="4:6" x14ac:dyDescent="0.3">
      <c r="D69" t="s">
        <v>61</v>
      </c>
      <c r="E69" t="s">
        <v>176</v>
      </c>
      <c r="F69" t="str">
        <f>'FUNCTIONAL_GROUP_1 Frontend'!F27</f>
        <v>Device 3</v>
      </c>
    </row>
    <row r="70" spans="4:6" x14ac:dyDescent="0.3">
      <c r="D70" t="s">
        <v>61</v>
      </c>
      <c r="E70" t="s">
        <v>177</v>
      </c>
      <c r="F70" t="s">
        <v>183</v>
      </c>
    </row>
    <row r="71" spans="4:6" x14ac:dyDescent="0.3">
      <c r="D71" t="s">
        <v>72</v>
      </c>
      <c r="E71" t="s">
        <v>78</v>
      </c>
    </row>
    <row r="72" spans="4:6" x14ac:dyDescent="0.3">
      <c r="D72" t="s">
        <v>60</v>
      </c>
      <c r="E72" t="s">
        <v>69</v>
      </c>
    </row>
    <row r="73" spans="4:6" x14ac:dyDescent="0.3">
      <c r="D73" t="s">
        <v>61</v>
      </c>
      <c r="E73" t="s">
        <v>189</v>
      </c>
    </row>
    <row r="74" spans="4:6" x14ac:dyDescent="0.3">
      <c r="D74" t="s">
        <v>61</v>
      </c>
      <c r="E74" t="s">
        <v>71</v>
      </c>
      <c r="F74" t="str">
        <f>'FUNCTIONAL_GROUP_1 Frontend'!Z35</f>
        <v>+</v>
      </c>
    </row>
    <row r="75" spans="4:6" x14ac:dyDescent="0.3">
      <c r="D75" t="s">
        <v>61</v>
      </c>
      <c r="E75" t="s">
        <v>172</v>
      </c>
      <c r="F75" t="s">
        <v>63</v>
      </c>
    </row>
    <row r="76" spans="4:6" x14ac:dyDescent="0.3">
      <c r="D76" t="s">
        <v>61</v>
      </c>
      <c r="E76" t="s">
        <v>173</v>
      </c>
      <c r="F76" t="str">
        <f>'FUNCTIONAL_GROUP_1 Frontend'!O27</f>
        <v>Device 2</v>
      </c>
    </row>
    <row r="77" spans="4:6" x14ac:dyDescent="0.3">
      <c r="D77" t="s">
        <v>61</v>
      </c>
      <c r="E77" t="s">
        <v>174</v>
      </c>
      <c r="F77" t="s">
        <v>180</v>
      </c>
    </row>
    <row r="78" spans="4:6" x14ac:dyDescent="0.3">
      <c r="D78" t="s">
        <v>61</v>
      </c>
      <c r="E78" t="s">
        <v>175</v>
      </c>
      <c r="F78" t="str">
        <f>'FUNCTIONAL_GROUP_1 Frontend'!AG46</f>
        <v xml:space="preserve"> 5.0</v>
      </c>
    </row>
    <row r="79" spans="4:6" x14ac:dyDescent="0.3">
      <c r="D79" t="s">
        <v>61</v>
      </c>
      <c r="E79" t="s">
        <v>176</v>
      </c>
      <c r="F79" t="str">
        <f>'FUNCTIONAL_GROUP_1 Frontend'!AE41</f>
        <v>Device 7</v>
      </c>
    </row>
    <row r="80" spans="4:6" x14ac:dyDescent="0.3">
      <c r="D80" t="s">
        <v>61</v>
      </c>
      <c r="E80" t="s">
        <v>177</v>
      </c>
      <c r="F80" t="s">
        <v>181</v>
      </c>
    </row>
    <row r="81" spans="4:6" x14ac:dyDescent="0.3">
      <c r="D81" t="s">
        <v>72</v>
      </c>
      <c r="E81" t="s">
        <v>78</v>
      </c>
    </row>
    <row r="82" spans="4:6" x14ac:dyDescent="0.3">
      <c r="D82" t="s">
        <v>60</v>
      </c>
      <c r="E82" t="s">
        <v>70</v>
      </c>
    </row>
    <row r="83" spans="4:6" x14ac:dyDescent="0.3">
      <c r="D83" t="s">
        <v>61</v>
      </c>
      <c r="E83" t="s">
        <v>189</v>
      </c>
    </row>
    <row r="84" spans="4:6" x14ac:dyDescent="0.3">
      <c r="D84" t="s">
        <v>61</v>
      </c>
      <c r="E84" t="s">
        <v>71</v>
      </c>
      <c r="F84" t="str">
        <f>'FUNCTIONAL_GROUP_1 Frontend'!$N$38</f>
        <v/>
      </c>
    </row>
    <row r="85" spans="4:6" x14ac:dyDescent="0.3">
      <c r="D85" t="s">
        <v>61</v>
      </c>
      <c r="E85" t="s">
        <v>172</v>
      </c>
      <c r="F85" t="s">
        <v>63</v>
      </c>
    </row>
    <row r="86" spans="4:6" x14ac:dyDescent="0.3">
      <c r="D86" t="s">
        <v>61</v>
      </c>
      <c r="E86" t="s">
        <v>173</v>
      </c>
      <c r="F86" t="str">
        <f>'FUNCTIONAL_GROUP_1 Frontend'!O27</f>
        <v>Device 2</v>
      </c>
    </row>
    <row r="87" spans="4:6" x14ac:dyDescent="0.3">
      <c r="D87" t="s">
        <v>61</v>
      </c>
      <c r="E87" t="s">
        <v>174</v>
      </c>
      <c r="F87" t="s">
        <v>180</v>
      </c>
    </row>
    <row r="88" spans="4:6" x14ac:dyDescent="0.3">
      <c r="D88" t="s">
        <v>61</v>
      </c>
      <c r="E88" t="s">
        <v>175</v>
      </c>
      <c r="F88" t="str">
        <f>'FUNCTIONAL_GROUP_1 Frontend'!R46</f>
        <v xml:space="preserve"> 4.0</v>
      </c>
    </row>
    <row r="89" spans="4:6" x14ac:dyDescent="0.3">
      <c r="D89" t="s">
        <v>61</v>
      </c>
      <c r="E89" t="s">
        <v>176</v>
      </c>
      <c r="F89" t="str">
        <f>'FUNCTIONAL_GROUP_1 Frontend'!M41</f>
        <v>Device 4</v>
      </c>
    </row>
    <row r="90" spans="4:6" x14ac:dyDescent="0.3">
      <c r="D90" t="s">
        <v>61</v>
      </c>
      <c r="E90" t="s">
        <v>177</v>
      </c>
      <c r="F90" t="s">
        <v>181</v>
      </c>
    </row>
    <row r="91" spans="4:6" x14ac:dyDescent="0.3">
      <c r="D91" t="s">
        <v>72</v>
      </c>
      <c r="E91" t="s">
        <v>78</v>
      </c>
    </row>
    <row r="92" spans="4:6" x14ac:dyDescent="0.3">
      <c r="D92" t="s">
        <v>60</v>
      </c>
      <c r="E92" t="s">
        <v>162</v>
      </c>
    </row>
    <row r="93" spans="4:6" x14ac:dyDescent="0.3">
      <c r="D93" t="s">
        <v>61</v>
      </c>
      <c r="E93" t="s">
        <v>189</v>
      </c>
    </row>
    <row r="94" spans="4:6" x14ac:dyDescent="0.3">
      <c r="D94" t="s">
        <v>61</v>
      </c>
      <c r="E94" t="s">
        <v>71</v>
      </c>
      <c r="F94" t="str">
        <f>'FUNCTIONAL_GROUP_1 Frontend'!$N$38</f>
        <v/>
      </c>
    </row>
    <row r="95" spans="4:6" x14ac:dyDescent="0.3">
      <c r="D95" t="s">
        <v>61</v>
      </c>
      <c r="E95" t="s">
        <v>172</v>
      </c>
      <c r="F95" t="str">
        <f>'FUNCTIONAL_GROUP_1 Frontend'!R46</f>
        <v xml:space="preserve"> 4.0</v>
      </c>
    </row>
    <row r="96" spans="4:6" x14ac:dyDescent="0.3">
      <c r="D96" t="s">
        <v>61</v>
      </c>
      <c r="E96" t="s">
        <v>173</v>
      </c>
      <c r="F96" t="str">
        <f>'FUNCTIONAL_GROUP_1 Frontend'!M41</f>
        <v>Device 4</v>
      </c>
    </row>
    <row r="97" spans="4:6" x14ac:dyDescent="0.3">
      <c r="D97" t="s">
        <v>61</v>
      </c>
      <c r="E97" t="s">
        <v>174</v>
      </c>
      <c r="F97" t="s">
        <v>180</v>
      </c>
    </row>
    <row r="98" spans="4:6" x14ac:dyDescent="0.3">
      <c r="D98" t="s">
        <v>61</v>
      </c>
      <c r="E98" t="s">
        <v>175</v>
      </c>
      <c r="F98" t="s">
        <v>185</v>
      </c>
    </row>
    <row r="99" spans="4:6" x14ac:dyDescent="0.3">
      <c r="D99" t="s">
        <v>61</v>
      </c>
      <c r="E99" t="s">
        <v>176</v>
      </c>
      <c r="F99" t="str">
        <f>'FUNCTIONAL_GROUP_1 Frontend'!N57</f>
        <v>Device 5</v>
      </c>
    </row>
    <row r="100" spans="4:6" x14ac:dyDescent="0.3">
      <c r="D100" t="s">
        <v>61</v>
      </c>
      <c r="E100" t="s">
        <v>177</v>
      </c>
      <c r="F100" t="s">
        <v>181</v>
      </c>
    </row>
    <row r="101" spans="4:6" x14ac:dyDescent="0.3">
      <c r="D101" t="s">
        <v>72</v>
      </c>
      <c r="E101" t="s">
        <v>78</v>
      </c>
    </row>
    <row r="102" spans="4:6" x14ac:dyDescent="0.3">
      <c r="D102" t="s">
        <v>60</v>
      </c>
      <c r="E102" t="s">
        <v>163</v>
      </c>
    </row>
    <row r="103" spans="4:6" x14ac:dyDescent="0.3">
      <c r="D103" t="s">
        <v>61</v>
      </c>
      <c r="E103" t="s">
        <v>189</v>
      </c>
    </row>
    <row r="104" spans="4:6" x14ac:dyDescent="0.3">
      <c r="D104" t="s">
        <v>61</v>
      </c>
      <c r="E104" t="s">
        <v>71</v>
      </c>
      <c r="F104" t="str">
        <f>'FUNCTIONAL_GROUP_1 Frontend'!$N$38</f>
        <v/>
      </c>
    </row>
    <row r="105" spans="4:6" x14ac:dyDescent="0.3">
      <c r="D105" t="s">
        <v>61</v>
      </c>
      <c r="E105" t="s">
        <v>172</v>
      </c>
      <c r="F105" t="str">
        <f>'FUNCTIONAL_GROUP_1 Frontend'!R46</f>
        <v xml:space="preserve"> 4.0</v>
      </c>
    </row>
    <row r="106" spans="4:6" x14ac:dyDescent="0.3">
      <c r="D106" t="s">
        <v>61</v>
      </c>
      <c r="E106" t="s">
        <v>173</v>
      </c>
      <c r="F106" t="str">
        <f>'FUNCTIONAL_GROUP_1 Frontend'!M41</f>
        <v>Device 4</v>
      </c>
    </row>
    <row r="107" spans="4:6" x14ac:dyDescent="0.3">
      <c r="D107" t="s">
        <v>61</v>
      </c>
      <c r="E107" t="s">
        <v>174</v>
      </c>
      <c r="F107" t="s">
        <v>184</v>
      </c>
    </row>
    <row r="108" spans="4:6" x14ac:dyDescent="0.3">
      <c r="D108" t="s">
        <v>61</v>
      </c>
      <c r="E108" t="s">
        <v>175</v>
      </c>
      <c r="F108" t="str">
        <f>'FUNCTIONAL_GROUP_1 Frontend'!Z58</f>
        <v xml:space="preserve"> 7.0</v>
      </c>
    </row>
    <row r="109" spans="4:6" x14ac:dyDescent="0.3">
      <c r="D109" t="s">
        <v>61</v>
      </c>
      <c r="E109" t="s">
        <v>176</v>
      </c>
      <c r="F109" t="str">
        <f>'FUNCTIONAL_GROUP_1 Frontend'!V57</f>
        <v>Device 6</v>
      </c>
    </row>
    <row r="110" spans="4:6" x14ac:dyDescent="0.3">
      <c r="D110" t="s">
        <v>61</v>
      </c>
      <c r="E110" t="s">
        <v>177</v>
      </c>
      <c r="F110" t="s">
        <v>181</v>
      </c>
    </row>
    <row r="111" spans="4:6" x14ac:dyDescent="0.3">
      <c r="D111" t="s">
        <v>72</v>
      </c>
      <c r="E111" t="s">
        <v>78</v>
      </c>
    </row>
    <row r="112" spans="4:6" x14ac:dyDescent="0.3">
      <c r="D112" t="s">
        <v>50</v>
      </c>
    </row>
    <row r="113" spans="4:6" x14ac:dyDescent="0.3">
      <c r="D113" t="s">
        <v>51</v>
      </c>
      <c r="E113" t="s">
        <v>74</v>
      </c>
    </row>
    <row r="114" spans="4:6" x14ac:dyDescent="0.3">
      <c r="D114" t="s">
        <v>53</v>
      </c>
      <c r="E114" t="s">
        <v>198</v>
      </c>
      <c r="F114" t="s">
        <v>200</v>
      </c>
    </row>
    <row r="115" spans="4:6" x14ac:dyDescent="0.3">
      <c r="D115" t="s">
        <v>53</v>
      </c>
      <c r="E115" t="s">
        <v>199</v>
      </c>
      <c r="F115">
        <v>1</v>
      </c>
    </row>
    <row r="116" spans="4:6" x14ac:dyDescent="0.3">
      <c r="D116" t="s">
        <v>58</v>
      </c>
      <c r="E116" t="s">
        <v>73</v>
      </c>
    </row>
    <row r="117" spans="4:6" x14ac:dyDescent="0.3">
      <c r="D117" t="s">
        <v>60</v>
      </c>
      <c r="E117" t="s">
        <v>77</v>
      </c>
    </row>
    <row r="118" spans="4:6" x14ac:dyDescent="0.3">
      <c r="D118" t="s">
        <v>61</v>
      </c>
      <c r="E118" s="15" t="s">
        <v>71</v>
      </c>
      <c r="F118" s="15" t="str">
        <f>'FUNCTIONAL_GROUP_2 Frontend'!L24</f>
        <v>+</v>
      </c>
    </row>
    <row r="119" spans="4:6" x14ac:dyDescent="0.3">
      <c r="D119" t="s">
        <v>61</v>
      </c>
      <c r="E119" t="s">
        <v>189</v>
      </c>
    </row>
    <row r="120" spans="4:6" x14ac:dyDescent="0.3">
      <c r="D120" t="s">
        <v>72</v>
      </c>
      <c r="E120" s="15" t="s">
        <v>78</v>
      </c>
    </row>
    <row r="121" spans="4:6" x14ac:dyDescent="0.3">
      <c r="D121" t="s">
        <v>60</v>
      </c>
      <c r="E121" s="15" t="s">
        <v>79</v>
      </c>
    </row>
    <row r="122" spans="4:6" x14ac:dyDescent="0.3">
      <c r="D122" t="s">
        <v>61</v>
      </c>
      <c r="E122" s="15" t="s">
        <v>71</v>
      </c>
      <c r="F122" s="15" t="str">
        <f>'FUNCTIONAL_GROUP_2 Frontend'!L20</f>
        <v>+</v>
      </c>
    </row>
    <row r="123" spans="4:6" x14ac:dyDescent="0.3">
      <c r="D123" t="s">
        <v>61</v>
      </c>
      <c r="E123" t="s">
        <v>189</v>
      </c>
    </row>
    <row r="124" spans="4:6" x14ac:dyDescent="0.3">
      <c r="D124" t="s">
        <v>72</v>
      </c>
      <c r="E124" s="15" t="s">
        <v>78</v>
      </c>
    </row>
    <row r="125" spans="4:6" x14ac:dyDescent="0.3">
      <c r="D125" t="s">
        <v>60</v>
      </c>
      <c r="E125" s="15" t="s">
        <v>80</v>
      </c>
    </row>
    <row r="126" spans="4:6" x14ac:dyDescent="0.3">
      <c r="D126" t="s">
        <v>61</v>
      </c>
      <c r="E126" s="15" t="s">
        <v>71</v>
      </c>
      <c r="F126" s="15" t="str">
        <f>'FUNCTIONAL_GROUP_2 Frontend'!L16</f>
        <v>+</v>
      </c>
    </row>
    <row r="127" spans="4:6" x14ac:dyDescent="0.3">
      <c r="D127" t="s">
        <v>61</v>
      </c>
      <c r="E127" t="s">
        <v>189</v>
      </c>
    </row>
    <row r="128" spans="4:6" x14ac:dyDescent="0.3">
      <c r="D128" t="s">
        <v>72</v>
      </c>
      <c r="E128" s="15" t="s">
        <v>78</v>
      </c>
    </row>
    <row r="129" spans="4:6" x14ac:dyDescent="0.3">
      <c r="D129" t="s">
        <v>60</v>
      </c>
      <c r="E129" s="15" t="s">
        <v>81</v>
      </c>
    </row>
    <row r="130" spans="4:6" x14ac:dyDescent="0.3">
      <c r="D130" t="s">
        <v>61</v>
      </c>
      <c r="E130" s="15" t="s">
        <v>71</v>
      </c>
      <c r="F130" s="15" t="str">
        <f>'FUNCTIONAL_GROUP_2 Frontend'!L12</f>
        <v>+</v>
      </c>
    </row>
    <row r="131" spans="4:6" x14ac:dyDescent="0.3">
      <c r="D131" t="s">
        <v>61</v>
      </c>
      <c r="E131" t="s">
        <v>189</v>
      </c>
    </row>
    <row r="132" spans="4:6" x14ac:dyDescent="0.3">
      <c r="D132" t="s">
        <v>72</v>
      </c>
      <c r="E132" s="15" t="s">
        <v>78</v>
      </c>
    </row>
    <row r="133" spans="4:6" x14ac:dyDescent="0.3">
      <c r="D133" t="s">
        <v>60</v>
      </c>
      <c r="E133" t="s">
        <v>76</v>
      </c>
    </row>
    <row r="134" spans="4:6" x14ac:dyDescent="0.3">
      <c r="D134" t="s">
        <v>61</v>
      </c>
      <c r="E134" s="15" t="s">
        <v>54</v>
      </c>
      <c r="F134" t="s">
        <v>82</v>
      </c>
    </row>
    <row r="135" spans="4:6" x14ac:dyDescent="0.3">
      <c r="D135" t="s">
        <v>61</v>
      </c>
      <c r="E135" t="s">
        <v>188</v>
      </c>
    </row>
    <row r="136" spans="4:6" x14ac:dyDescent="0.3">
      <c r="D136" t="s">
        <v>72</v>
      </c>
      <c r="E136" s="15" t="str">
        <f>'FUNCTIONAL_GROUP_2 Frontend'!P24</f>
        <v>Device 3</v>
      </c>
    </row>
    <row r="137" spans="4:6" x14ac:dyDescent="0.3">
      <c r="D137" t="s">
        <v>60</v>
      </c>
      <c r="E137" s="15" t="s">
        <v>83</v>
      </c>
    </row>
    <row r="138" spans="4:6" x14ac:dyDescent="0.3">
      <c r="D138" t="s">
        <v>61</v>
      </c>
      <c r="E138" s="15" t="s">
        <v>54</v>
      </c>
      <c r="F138" t="s">
        <v>82</v>
      </c>
    </row>
    <row r="139" spans="4:6" x14ac:dyDescent="0.3">
      <c r="D139" t="s">
        <v>61</v>
      </c>
      <c r="E139" t="s">
        <v>188</v>
      </c>
    </row>
    <row r="140" spans="4:6" x14ac:dyDescent="0.3">
      <c r="D140" t="s">
        <v>72</v>
      </c>
      <c r="E140" s="15" t="str">
        <f>'FUNCTIONAL_GROUP_2 Frontend'!P20</f>
        <v>Device 4</v>
      </c>
    </row>
    <row r="141" spans="4:6" x14ac:dyDescent="0.3">
      <c r="D141" t="s">
        <v>60</v>
      </c>
      <c r="E141" s="15" t="s">
        <v>84</v>
      </c>
    </row>
    <row r="142" spans="4:6" x14ac:dyDescent="0.3">
      <c r="D142" t="s">
        <v>61</v>
      </c>
      <c r="E142" t="s">
        <v>188</v>
      </c>
    </row>
    <row r="143" spans="4:6" x14ac:dyDescent="0.3">
      <c r="D143" t="s">
        <v>61</v>
      </c>
      <c r="E143" s="15" t="s">
        <v>54</v>
      </c>
      <c r="F143" t="s">
        <v>82</v>
      </c>
    </row>
    <row r="144" spans="4:6" x14ac:dyDescent="0.3">
      <c r="D144" t="s">
        <v>72</v>
      </c>
      <c r="E144" s="15" t="str">
        <f>'FUNCTIONAL_GROUP_2 Frontend'!P16</f>
        <v>Device 1</v>
      </c>
    </row>
    <row r="145" spans="4:6" x14ac:dyDescent="0.3">
      <c r="D145" t="s">
        <v>60</v>
      </c>
      <c r="E145" s="15" t="s">
        <v>85</v>
      </c>
    </row>
    <row r="146" spans="4:6" x14ac:dyDescent="0.3">
      <c r="D146" t="s">
        <v>61</v>
      </c>
      <c r="E146" t="s">
        <v>188</v>
      </c>
    </row>
    <row r="147" spans="4:6" x14ac:dyDescent="0.3">
      <c r="D147" t="s">
        <v>61</v>
      </c>
      <c r="E147" s="15" t="s">
        <v>54</v>
      </c>
      <c r="F147" t="s">
        <v>82</v>
      </c>
    </row>
    <row r="148" spans="4:6" x14ac:dyDescent="0.3">
      <c r="D148" t="s">
        <v>72</v>
      </c>
      <c r="E148" s="15" t="str">
        <f>'FUNCTIONAL_GROUP_2 Frontend'!P12</f>
        <v>Device 3</v>
      </c>
    </row>
    <row r="149" spans="4:6" x14ac:dyDescent="0.3">
      <c r="D149" t="s">
        <v>60</v>
      </c>
      <c r="E149" t="s">
        <v>86</v>
      </c>
    </row>
    <row r="150" spans="4:6" x14ac:dyDescent="0.3">
      <c r="D150" t="s">
        <v>61</v>
      </c>
      <c r="E150" t="s">
        <v>189</v>
      </c>
    </row>
    <row r="151" spans="4:6" x14ac:dyDescent="0.3">
      <c r="D151" t="s">
        <v>61</v>
      </c>
      <c r="E151" s="15" t="s">
        <v>71</v>
      </c>
      <c r="F151" s="15" t="str">
        <f>'FUNCTIONAL_GROUP_2 Frontend'!V24</f>
        <v>+</v>
      </c>
    </row>
    <row r="152" spans="4:6" x14ac:dyDescent="0.3">
      <c r="D152" t="s">
        <v>72</v>
      </c>
      <c r="E152" s="15" t="s">
        <v>78</v>
      </c>
    </row>
    <row r="153" spans="4:6" x14ac:dyDescent="0.3">
      <c r="D153" t="s">
        <v>60</v>
      </c>
      <c r="E153" s="15" t="s">
        <v>87</v>
      </c>
    </row>
    <row r="154" spans="4:6" x14ac:dyDescent="0.3">
      <c r="D154" t="s">
        <v>61</v>
      </c>
      <c r="E154" t="s">
        <v>189</v>
      </c>
    </row>
    <row r="155" spans="4:6" x14ac:dyDescent="0.3">
      <c r="D155" t="s">
        <v>61</v>
      </c>
      <c r="E155" s="15" t="s">
        <v>71</v>
      </c>
      <c r="F155" s="15" t="str">
        <f>'FUNCTIONAL_GROUP_2 Frontend'!V20</f>
        <v>+</v>
      </c>
    </row>
    <row r="156" spans="4:6" x14ac:dyDescent="0.3">
      <c r="D156" t="s">
        <v>72</v>
      </c>
      <c r="E156" s="15" t="s">
        <v>78</v>
      </c>
    </row>
    <row r="157" spans="4:6" x14ac:dyDescent="0.3">
      <c r="D157" t="s">
        <v>60</v>
      </c>
      <c r="E157" s="15" t="s">
        <v>88</v>
      </c>
    </row>
    <row r="158" spans="4:6" x14ac:dyDescent="0.3">
      <c r="D158" t="s">
        <v>61</v>
      </c>
      <c r="E158" t="s">
        <v>189</v>
      </c>
    </row>
    <row r="159" spans="4:6" x14ac:dyDescent="0.3">
      <c r="D159" t="s">
        <v>61</v>
      </c>
      <c r="E159" s="15" t="s">
        <v>71</v>
      </c>
      <c r="F159" s="15" t="str">
        <f>'FUNCTIONAL_GROUP_2 Frontend'!V16</f>
        <v>+</v>
      </c>
    </row>
    <row r="160" spans="4:6" x14ac:dyDescent="0.3">
      <c r="D160" t="s">
        <v>72</v>
      </c>
      <c r="E160" s="15" t="s">
        <v>78</v>
      </c>
    </row>
    <row r="161" spans="4:6" x14ac:dyDescent="0.3">
      <c r="D161" t="s">
        <v>60</v>
      </c>
      <c r="E161" s="15" t="s">
        <v>89</v>
      </c>
    </row>
    <row r="162" spans="4:6" x14ac:dyDescent="0.3">
      <c r="D162" t="s">
        <v>61</v>
      </c>
      <c r="E162" t="s">
        <v>189</v>
      </c>
    </row>
    <row r="163" spans="4:6" x14ac:dyDescent="0.3">
      <c r="D163" t="s">
        <v>61</v>
      </c>
      <c r="E163" s="15" t="s">
        <v>71</v>
      </c>
      <c r="F163" s="15" t="str">
        <f>'FUNCTIONAL_GROUP_2 Frontend'!V12</f>
        <v>+</v>
      </c>
    </row>
    <row r="164" spans="4:6" x14ac:dyDescent="0.3">
      <c r="D164" t="s">
        <v>72</v>
      </c>
      <c r="E164" t="s">
        <v>78</v>
      </c>
    </row>
    <row r="165" spans="4:6" x14ac:dyDescent="0.3">
      <c r="D165" t="s">
        <v>60</v>
      </c>
      <c r="E165" t="s">
        <v>90</v>
      </c>
    </row>
    <row r="166" spans="4:6" x14ac:dyDescent="0.3">
      <c r="D166" t="s">
        <v>61</v>
      </c>
      <c r="E166" t="s">
        <v>189</v>
      </c>
    </row>
    <row r="167" spans="4:6" x14ac:dyDescent="0.3">
      <c r="D167" t="s">
        <v>61</v>
      </c>
      <c r="E167" s="15" t="s">
        <v>71</v>
      </c>
      <c r="F167" s="15">
        <f>'FUNCTIONAL_GROUP_2 Frontend'!Y26</f>
        <v>0</v>
      </c>
    </row>
    <row r="168" spans="4:6" x14ac:dyDescent="0.3">
      <c r="D168" t="s">
        <v>72</v>
      </c>
      <c r="E168" s="15" t="s">
        <v>78</v>
      </c>
    </row>
    <row r="169" spans="4:6" x14ac:dyDescent="0.3">
      <c r="D169" t="s">
        <v>60</v>
      </c>
      <c r="E169" s="15" t="s">
        <v>91</v>
      </c>
    </row>
    <row r="170" spans="4:6" x14ac:dyDescent="0.3">
      <c r="D170" t="s">
        <v>61</v>
      </c>
      <c r="E170" t="s">
        <v>189</v>
      </c>
    </row>
    <row r="171" spans="4:6" x14ac:dyDescent="0.3">
      <c r="D171" t="s">
        <v>61</v>
      </c>
      <c r="E171" s="15" t="s">
        <v>71</v>
      </c>
      <c r="F171" s="15">
        <f>'FUNCTIONAL_GROUP_2 Frontend'!Y22</f>
        <v>0</v>
      </c>
    </row>
    <row r="172" spans="4:6" x14ac:dyDescent="0.3">
      <c r="D172" t="s">
        <v>72</v>
      </c>
      <c r="E172" s="15" t="s">
        <v>78</v>
      </c>
    </row>
    <row r="173" spans="4:6" x14ac:dyDescent="0.3">
      <c r="D173" t="s">
        <v>60</v>
      </c>
      <c r="E173" s="15" t="s">
        <v>92</v>
      </c>
    </row>
    <row r="174" spans="4:6" x14ac:dyDescent="0.3">
      <c r="D174" t="s">
        <v>61</v>
      </c>
      <c r="E174" t="s">
        <v>189</v>
      </c>
    </row>
    <row r="175" spans="4:6" x14ac:dyDescent="0.3">
      <c r="D175" t="s">
        <v>61</v>
      </c>
      <c r="E175" s="15" t="s">
        <v>71</v>
      </c>
      <c r="F175" s="15" t="str">
        <f>'FUNCTIONAL_GROUP_2 Frontend'!Y18</f>
        <v>+</v>
      </c>
    </row>
    <row r="176" spans="4:6" x14ac:dyDescent="0.3">
      <c r="D176" t="s">
        <v>72</v>
      </c>
      <c r="E176" s="15" t="s">
        <v>78</v>
      </c>
    </row>
    <row r="177" spans="4:6" x14ac:dyDescent="0.3">
      <c r="D177" t="s">
        <v>60</v>
      </c>
      <c r="E177" s="15" t="s">
        <v>93</v>
      </c>
    </row>
    <row r="178" spans="4:6" x14ac:dyDescent="0.3">
      <c r="D178" t="s">
        <v>61</v>
      </c>
      <c r="E178" t="s">
        <v>189</v>
      </c>
    </row>
    <row r="179" spans="4:6" x14ac:dyDescent="0.3">
      <c r="D179" t="s">
        <v>61</v>
      </c>
      <c r="E179" s="15" t="s">
        <v>71</v>
      </c>
      <c r="F179" s="15" t="str">
        <f>'FUNCTIONAL_GROUP_2 Frontend'!Y14</f>
        <v>+</v>
      </c>
    </row>
    <row r="180" spans="4:6" x14ac:dyDescent="0.3">
      <c r="D180" t="s">
        <v>72</v>
      </c>
      <c r="E180" s="15" t="s">
        <v>78</v>
      </c>
    </row>
    <row r="181" spans="4:6" x14ac:dyDescent="0.3">
      <c r="D181" t="s">
        <v>60</v>
      </c>
      <c r="E181" t="s">
        <v>94</v>
      </c>
    </row>
    <row r="182" spans="4:6" x14ac:dyDescent="0.3">
      <c r="D182" t="s">
        <v>61</v>
      </c>
      <c r="E182" t="s">
        <v>188</v>
      </c>
    </row>
    <row r="183" spans="4:6" x14ac:dyDescent="0.3">
      <c r="D183" t="s">
        <v>61</v>
      </c>
      <c r="E183" s="15" t="s">
        <v>54</v>
      </c>
      <c r="F183" t="s">
        <v>82</v>
      </c>
    </row>
    <row r="184" spans="4:6" x14ac:dyDescent="0.3">
      <c r="D184" t="s">
        <v>72</v>
      </c>
      <c r="E184" s="15" t="str">
        <f>'FUNCTIONAL_GROUP_2 Frontend'!Z24</f>
        <v>Device 2</v>
      </c>
    </row>
    <row r="185" spans="4:6" x14ac:dyDescent="0.3">
      <c r="D185" t="s">
        <v>60</v>
      </c>
      <c r="E185" s="15" t="s">
        <v>95</v>
      </c>
    </row>
    <row r="186" spans="4:6" x14ac:dyDescent="0.3">
      <c r="D186" t="s">
        <v>61</v>
      </c>
      <c r="E186" t="s">
        <v>188</v>
      </c>
    </row>
    <row r="187" spans="4:6" x14ac:dyDescent="0.3">
      <c r="D187" t="s">
        <v>61</v>
      </c>
      <c r="E187" s="15" t="s">
        <v>54</v>
      </c>
      <c r="F187" t="s">
        <v>82</v>
      </c>
    </row>
    <row r="188" spans="4:6" x14ac:dyDescent="0.3">
      <c r="D188" t="s">
        <v>72</v>
      </c>
      <c r="E188" s="15" t="str">
        <f>'FUNCTIONAL_GROUP_2 Frontend'!Z20</f>
        <v>Device 2</v>
      </c>
    </row>
    <row r="189" spans="4:6" x14ac:dyDescent="0.3">
      <c r="D189" t="s">
        <v>60</v>
      </c>
      <c r="E189" s="15" t="s">
        <v>96</v>
      </c>
    </row>
    <row r="190" spans="4:6" x14ac:dyDescent="0.3">
      <c r="D190" t="s">
        <v>61</v>
      </c>
      <c r="E190" t="s">
        <v>188</v>
      </c>
    </row>
    <row r="191" spans="4:6" x14ac:dyDescent="0.3">
      <c r="D191" t="s">
        <v>61</v>
      </c>
      <c r="E191" s="15" t="s">
        <v>54</v>
      </c>
      <c r="F191" t="s">
        <v>82</v>
      </c>
    </row>
    <row r="192" spans="4:6" x14ac:dyDescent="0.3">
      <c r="D192" t="s">
        <v>72</v>
      </c>
      <c r="E192" s="15">
        <f>'FUNCTIONAL_GROUP_2 Frontend'!Z16</f>
        <v>0</v>
      </c>
    </row>
    <row r="193" spans="4:6" x14ac:dyDescent="0.3">
      <c r="D193" t="s">
        <v>60</v>
      </c>
      <c r="E193" s="15" t="s">
        <v>97</v>
      </c>
    </row>
    <row r="194" spans="4:6" x14ac:dyDescent="0.3">
      <c r="D194" t="s">
        <v>61</v>
      </c>
      <c r="E194" t="s">
        <v>188</v>
      </c>
    </row>
    <row r="195" spans="4:6" x14ac:dyDescent="0.3">
      <c r="D195" t="s">
        <v>61</v>
      </c>
      <c r="E195" s="15" t="s">
        <v>54</v>
      </c>
      <c r="F195" t="s">
        <v>82</v>
      </c>
    </row>
    <row r="196" spans="4:6" x14ac:dyDescent="0.3">
      <c r="D196" t="s">
        <v>72</v>
      </c>
      <c r="E196" s="15">
        <f>'FUNCTIONAL_GROUP_2 Frontend'!Z12</f>
        <v>0</v>
      </c>
    </row>
    <row r="197" spans="4:6" x14ac:dyDescent="0.3">
      <c r="D197" t="s">
        <v>60</v>
      </c>
      <c r="E197" t="s">
        <v>98</v>
      </c>
    </row>
    <row r="198" spans="4:6" x14ac:dyDescent="0.3">
      <c r="D198" t="s">
        <v>61</v>
      </c>
      <c r="E198" t="s">
        <v>189</v>
      </c>
    </row>
    <row r="199" spans="4:6" x14ac:dyDescent="0.3">
      <c r="D199" t="s">
        <v>61</v>
      </c>
      <c r="E199" s="15" t="s">
        <v>71</v>
      </c>
      <c r="F199" s="15" t="str">
        <f>'FUNCTIONAL_GROUP_2 Frontend'!AF24</f>
        <v>+</v>
      </c>
    </row>
    <row r="200" spans="4:6" x14ac:dyDescent="0.3">
      <c r="D200" t="s">
        <v>72</v>
      </c>
      <c r="E200" s="15" t="s">
        <v>78</v>
      </c>
    </row>
    <row r="201" spans="4:6" x14ac:dyDescent="0.3">
      <c r="D201" t="s">
        <v>60</v>
      </c>
      <c r="E201" s="15" t="s">
        <v>99</v>
      </c>
    </row>
    <row r="202" spans="4:6" x14ac:dyDescent="0.3">
      <c r="D202" t="s">
        <v>61</v>
      </c>
      <c r="E202" t="s">
        <v>189</v>
      </c>
    </row>
    <row r="203" spans="4:6" x14ac:dyDescent="0.3">
      <c r="D203" t="s">
        <v>61</v>
      </c>
      <c r="E203" s="15" t="s">
        <v>71</v>
      </c>
      <c r="F203" s="15" t="str">
        <f>'FUNCTIONAL_GROUP_2 Frontend'!AF20</f>
        <v>+</v>
      </c>
    </row>
    <row r="204" spans="4:6" x14ac:dyDescent="0.3">
      <c r="D204" t="s">
        <v>72</v>
      </c>
      <c r="E204" s="15" t="s">
        <v>78</v>
      </c>
    </row>
    <row r="205" spans="4:6" x14ac:dyDescent="0.3">
      <c r="D205" t="s">
        <v>60</v>
      </c>
      <c r="E205" s="15" t="s">
        <v>100</v>
      </c>
    </row>
    <row r="206" spans="4:6" x14ac:dyDescent="0.3">
      <c r="D206" t="s">
        <v>61</v>
      </c>
      <c r="E206" t="s">
        <v>189</v>
      </c>
    </row>
    <row r="207" spans="4:6" x14ac:dyDescent="0.3">
      <c r="D207" t="s">
        <v>61</v>
      </c>
      <c r="E207" s="15" t="s">
        <v>71</v>
      </c>
      <c r="F207" s="15">
        <f>'FUNCTIONAL_GROUP_2 Frontend'!AF16</f>
        <v>0</v>
      </c>
    </row>
    <row r="208" spans="4:6" x14ac:dyDescent="0.3">
      <c r="D208" t="s">
        <v>72</v>
      </c>
      <c r="E208" s="15" t="s">
        <v>78</v>
      </c>
    </row>
    <row r="209" spans="4:6" x14ac:dyDescent="0.3">
      <c r="D209" t="s">
        <v>60</v>
      </c>
      <c r="E209" s="15" t="s">
        <v>101</v>
      </c>
    </row>
    <row r="210" spans="4:6" x14ac:dyDescent="0.3">
      <c r="D210" t="s">
        <v>61</v>
      </c>
      <c r="E210" t="s">
        <v>189</v>
      </c>
    </row>
    <row r="211" spans="4:6" x14ac:dyDescent="0.3">
      <c r="D211" t="s">
        <v>61</v>
      </c>
      <c r="E211" s="15" t="s">
        <v>71</v>
      </c>
      <c r="F211" s="15">
        <f>'FUNCTIONAL_GROUP_2 Frontend'!AF12</f>
        <v>0</v>
      </c>
    </row>
    <row r="212" spans="4:6" x14ac:dyDescent="0.3">
      <c r="D212" t="s">
        <v>72</v>
      </c>
      <c r="E212" t="s">
        <v>78</v>
      </c>
    </row>
    <row r="213" spans="4:6" x14ac:dyDescent="0.3">
      <c r="D213" t="s">
        <v>60</v>
      </c>
      <c r="E213" t="s">
        <v>102</v>
      </c>
    </row>
    <row r="214" spans="4:6" x14ac:dyDescent="0.3">
      <c r="D214" t="s">
        <v>61</v>
      </c>
      <c r="E214" t="s">
        <v>189</v>
      </c>
    </row>
    <row r="215" spans="4:6" x14ac:dyDescent="0.3">
      <c r="D215" t="s">
        <v>61</v>
      </c>
      <c r="E215" s="15" t="s">
        <v>71</v>
      </c>
      <c r="F215" s="15" t="str">
        <f>'FUNCTIONAL_GROUP_2 Frontend'!AI26</f>
        <v>+</v>
      </c>
    </row>
    <row r="216" spans="4:6" x14ac:dyDescent="0.3">
      <c r="D216" t="s">
        <v>72</v>
      </c>
      <c r="E216" s="15" t="s">
        <v>78</v>
      </c>
    </row>
    <row r="217" spans="4:6" x14ac:dyDescent="0.3">
      <c r="D217" t="s">
        <v>60</v>
      </c>
      <c r="E217" s="15" t="s">
        <v>103</v>
      </c>
    </row>
    <row r="218" spans="4:6" x14ac:dyDescent="0.3">
      <c r="D218" t="s">
        <v>61</v>
      </c>
      <c r="E218" t="s">
        <v>189</v>
      </c>
    </row>
    <row r="219" spans="4:6" x14ac:dyDescent="0.3">
      <c r="D219" t="s">
        <v>61</v>
      </c>
      <c r="E219" s="15" t="s">
        <v>71</v>
      </c>
      <c r="F219" s="15" t="str">
        <f>'FUNCTIONAL_GROUP_2 Frontend'!AI22</f>
        <v>+</v>
      </c>
    </row>
    <row r="220" spans="4:6" x14ac:dyDescent="0.3">
      <c r="D220" t="s">
        <v>72</v>
      </c>
      <c r="E220" s="15" t="s">
        <v>78</v>
      </c>
    </row>
    <row r="221" spans="4:6" x14ac:dyDescent="0.3">
      <c r="D221" t="s">
        <v>60</v>
      </c>
      <c r="E221" s="15" t="s">
        <v>104</v>
      </c>
    </row>
    <row r="222" spans="4:6" x14ac:dyDescent="0.3">
      <c r="D222" t="s">
        <v>61</v>
      </c>
      <c r="E222" t="s">
        <v>189</v>
      </c>
    </row>
    <row r="223" spans="4:6" x14ac:dyDescent="0.3">
      <c r="D223" t="s">
        <v>61</v>
      </c>
      <c r="E223" s="15" t="s">
        <v>71</v>
      </c>
      <c r="F223" s="15">
        <f>'FUNCTIONAL_GROUP_2 Frontend'!AI18</f>
        <v>0</v>
      </c>
    </row>
    <row r="224" spans="4:6" x14ac:dyDescent="0.3">
      <c r="D224" t="s">
        <v>72</v>
      </c>
      <c r="E224" s="15" t="s">
        <v>78</v>
      </c>
    </row>
    <row r="225" spans="4:6" x14ac:dyDescent="0.3">
      <c r="D225" t="s">
        <v>60</v>
      </c>
      <c r="E225" s="15" t="s">
        <v>105</v>
      </c>
    </row>
    <row r="226" spans="4:6" x14ac:dyDescent="0.3">
      <c r="D226" t="s">
        <v>61</v>
      </c>
      <c r="E226" t="s">
        <v>189</v>
      </c>
    </row>
    <row r="227" spans="4:6" x14ac:dyDescent="0.3">
      <c r="D227" t="s">
        <v>61</v>
      </c>
      <c r="E227" s="15" t="s">
        <v>71</v>
      </c>
      <c r="F227" s="15">
        <f>'FUNCTIONAL_GROUP_2 Frontend'!AI14</f>
        <v>0</v>
      </c>
    </row>
    <row r="228" spans="4:6" x14ac:dyDescent="0.3">
      <c r="D228" t="s">
        <v>72</v>
      </c>
      <c r="E228" s="15" t="s">
        <v>78</v>
      </c>
    </row>
    <row r="229" spans="4:6" x14ac:dyDescent="0.3">
      <c r="D229" t="s">
        <v>60</v>
      </c>
      <c r="E229" t="s">
        <v>106</v>
      </c>
    </row>
    <row r="230" spans="4:6" x14ac:dyDescent="0.3">
      <c r="D230" t="s">
        <v>61</v>
      </c>
      <c r="E230" t="s">
        <v>188</v>
      </c>
    </row>
    <row r="231" spans="4:6" x14ac:dyDescent="0.3">
      <c r="D231" t="s">
        <v>61</v>
      </c>
      <c r="E231" s="15" t="s">
        <v>54</v>
      </c>
      <c r="F231" t="s">
        <v>82</v>
      </c>
    </row>
    <row r="232" spans="4:6" x14ac:dyDescent="0.3">
      <c r="D232" t="s">
        <v>72</v>
      </c>
      <c r="E232" s="15">
        <f>'FUNCTIONAL_GROUP_2 Frontend'!AJ24</f>
        <v>0</v>
      </c>
    </row>
    <row r="233" spans="4:6" x14ac:dyDescent="0.3">
      <c r="D233" t="s">
        <v>60</v>
      </c>
      <c r="E233" s="15" t="s">
        <v>107</v>
      </c>
    </row>
    <row r="234" spans="4:6" x14ac:dyDescent="0.3">
      <c r="D234" t="s">
        <v>61</v>
      </c>
      <c r="E234" t="s">
        <v>188</v>
      </c>
    </row>
    <row r="235" spans="4:6" x14ac:dyDescent="0.3">
      <c r="D235" t="s">
        <v>61</v>
      </c>
      <c r="E235" s="15" t="s">
        <v>54</v>
      </c>
      <c r="F235" t="s">
        <v>82</v>
      </c>
    </row>
    <row r="236" spans="4:6" x14ac:dyDescent="0.3">
      <c r="D236" t="s">
        <v>72</v>
      </c>
      <c r="E236" s="15">
        <f>'FUNCTIONAL_GROUP_2 Frontend'!AJ20</f>
        <v>0</v>
      </c>
    </row>
    <row r="237" spans="4:6" x14ac:dyDescent="0.3">
      <c r="D237" t="s">
        <v>60</v>
      </c>
      <c r="E237" s="15" t="s">
        <v>108</v>
      </c>
    </row>
    <row r="238" spans="4:6" x14ac:dyDescent="0.3">
      <c r="D238" t="s">
        <v>61</v>
      </c>
      <c r="E238" t="s">
        <v>188</v>
      </c>
    </row>
    <row r="239" spans="4:6" x14ac:dyDescent="0.3">
      <c r="D239" t="s">
        <v>61</v>
      </c>
      <c r="E239" s="15" t="s">
        <v>54</v>
      </c>
      <c r="F239" t="s">
        <v>82</v>
      </c>
    </row>
    <row r="240" spans="4:6" x14ac:dyDescent="0.3">
      <c r="D240" t="s">
        <v>72</v>
      </c>
      <c r="E240" s="15">
        <f>'FUNCTIONAL_GROUP_2 Frontend'!AJ16</f>
        <v>0</v>
      </c>
    </row>
    <row r="241" spans="4:6" x14ac:dyDescent="0.3">
      <c r="D241" t="s">
        <v>60</v>
      </c>
      <c r="E241" s="15" t="s">
        <v>109</v>
      </c>
    </row>
    <row r="242" spans="4:6" x14ac:dyDescent="0.3">
      <c r="D242" t="s">
        <v>61</v>
      </c>
      <c r="E242" t="s">
        <v>188</v>
      </c>
    </row>
    <row r="243" spans="4:6" x14ac:dyDescent="0.3">
      <c r="D243" t="s">
        <v>61</v>
      </c>
      <c r="E243" s="15" t="s">
        <v>54</v>
      </c>
      <c r="F243" t="s">
        <v>82</v>
      </c>
    </row>
    <row r="244" spans="4:6" x14ac:dyDescent="0.3">
      <c r="D244" t="s">
        <v>72</v>
      </c>
      <c r="E244" s="15">
        <f>'FUNCTIONAL_GROUP_2 Frontend'!AJ12</f>
        <v>0</v>
      </c>
    </row>
    <row r="245" spans="4:6" x14ac:dyDescent="0.3">
      <c r="D245" t="s">
        <v>60</v>
      </c>
      <c r="E245" t="s">
        <v>110</v>
      </c>
    </row>
    <row r="246" spans="4:6" x14ac:dyDescent="0.3">
      <c r="D246" t="s">
        <v>61</v>
      </c>
      <c r="E246" t="s">
        <v>189</v>
      </c>
    </row>
    <row r="247" spans="4:6" x14ac:dyDescent="0.3">
      <c r="D247" t="s">
        <v>61</v>
      </c>
      <c r="E247" s="15" t="s">
        <v>71</v>
      </c>
      <c r="F247" s="15">
        <f>'FUNCTIONAL_GROUP_2 Frontend'!AP24</f>
        <v>0</v>
      </c>
    </row>
    <row r="248" spans="4:6" x14ac:dyDescent="0.3">
      <c r="D248" t="s">
        <v>72</v>
      </c>
      <c r="E248" s="15" t="s">
        <v>78</v>
      </c>
    </row>
    <row r="249" spans="4:6" x14ac:dyDescent="0.3">
      <c r="D249" t="s">
        <v>60</v>
      </c>
      <c r="E249" s="15" t="s">
        <v>111</v>
      </c>
    </row>
    <row r="250" spans="4:6" x14ac:dyDescent="0.3">
      <c r="D250" t="s">
        <v>61</v>
      </c>
      <c r="E250" t="s">
        <v>189</v>
      </c>
    </row>
    <row r="251" spans="4:6" x14ac:dyDescent="0.3">
      <c r="D251" t="s">
        <v>61</v>
      </c>
      <c r="E251" s="15" t="s">
        <v>71</v>
      </c>
      <c r="F251" s="15">
        <f>'FUNCTIONAL_GROUP_2 Frontend'!AP20</f>
        <v>0</v>
      </c>
    </row>
    <row r="252" spans="4:6" x14ac:dyDescent="0.3">
      <c r="D252" t="s">
        <v>72</v>
      </c>
      <c r="E252" s="15" t="s">
        <v>78</v>
      </c>
    </row>
    <row r="253" spans="4:6" x14ac:dyDescent="0.3">
      <c r="D253" t="s">
        <v>60</v>
      </c>
      <c r="E253" s="15" t="s">
        <v>112</v>
      </c>
    </row>
    <row r="254" spans="4:6" x14ac:dyDescent="0.3">
      <c r="D254" t="s">
        <v>61</v>
      </c>
      <c r="E254" t="s">
        <v>189</v>
      </c>
    </row>
    <row r="255" spans="4:6" x14ac:dyDescent="0.3">
      <c r="D255" t="s">
        <v>61</v>
      </c>
      <c r="E255" s="15" t="s">
        <v>71</v>
      </c>
      <c r="F255" s="15">
        <f>'FUNCTIONAL_GROUP_2 Frontend'!AP16</f>
        <v>0</v>
      </c>
    </row>
    <row r="256" spans="4:6" x14ac:dyDescent="0.3">
      <c r="D256" t="s">
        <v>72</v>
      </c>
      <c r="E256" s="15" t="s">
        <v>78</v>
      </c>
    </row>
    <row r="257" spans="4:6" x14ac:dyDescent="0.3">
      <c r="D257" t="s">
        <v>60</v>
      </c>
      <c r="E257" s="15" t="s">
        <v>113</v>
      </c>
    </row>
    <row r="258" spans="4:6" x14ac:dyDescent="0.3">
      <c r="D258" t="s">
        <v>61</v>
      </c>
      <c r="E258" t="s">
        <v>189</v>
      </c>
    </row>
    <row r="259" spans="4:6" x14ac:dyDescent="0.3">
      <c r="D259" t="s">
        <v>61</v>
      </c>
      <c r="E259" s="15" t="s">
        <v>71</v>
      </c>
      <c r="F259" s="15">
        <f>'FUNCTIONAL_GROUP_2 Frontend'!AP12</f>
        <v>0</v>
      </c>
    </row>
    <row r="260" spans="4:6" x14ac:dyDescent="0.3">
      <c r="D260" t="s">
        <v>72</v>
      </c>
      <c r="E260" t="s">
        <v>78</v>
      </c>
    </row>
    <row r="261" spans="4:6" x14ac:dyDescent="0.3">
      <c r="D261" t="s">
        <v>60</v>
      </c>
      <c r="E261" t="s">
        <v>114</v>
      </c>
    </row>
    <row r="262" spans="4:6" x14ac:dyDescent="0.3">
      <c r="D262" t="s">
        <v>61</v>
      </c>
      <c r="E262" t="s">
        <v>189</v>
      </c>
    </row>
    <row r="263" spans="4:6" x14ac:dyDescent="0.3">
      <c r="D263" t="s">
        <v>61</v>
      </c>
      <c r="E263" s="15" t="s">
        <v>71</v>
      </c>
      <c r="F263" s="15">
        <f>'FUNCTIONAL_GROUP_2 Frontend'!AS26</f>
        <v>0</v>
      </c>
    </row>
    <row r="264" spans="4:6" x14ac:dyDescent="0.3">
      <c r="D264" t="s">
        <v>72</v>
      </c>
      <c r="E264" s="15" t="s">
        <v>78</v>
      </c>
    </row>
    <row r="265" spans="4:6" x14ac:dyDescent="0.3">
      <c r="D265" t="s">
        <v>60</v>
      </c>
      <c r="E265" s="15" t="s">
        <v>115</v>
      </c>
    </row>
    <row r="266" spans="4:6" x14ac:dyDescent="0.3">
      <c r="D266" t="s">
        <v>61</v>
      </c>
      <c r="E266" t="s">
        <v>189</v>
      </c>
    </row>
    <row r="267" spans="4:6" x14ac:dyDescent="0.3">
      <c r="D267" t="s">
        <v>61</v>
      </c>
      <c r="E267" s="15" t="s">
        <v>71</v>
      </c>
      <c r="F267" s="15">
        <f>'FUNCTIONAL_GROUP_2 Frontend'!AS22</f>
        <v>0</v>
      </c>
    </row>
    <row r="268" spans="4:6" x14ac:dyDescent="0.3">
      <c r="D268" t="s">
        <v>72</v>
      </c>
      <c r="E268" s="15" t="s">
        <v>78</v>
      </c>
    </row>
    <row r="269" spans="4:6" x14ac:dyDescent="0.3">
      <c r="D269" t="s">
        <v>60</v>
      </c>
      <c r="E269" s="15" t="s">
        <v>116</v>
      </c>
    </row>
    <row r="270" spans="4:6" x14ac:dyDescent="0.3">
      <c r="D270" t="s">
        <v>61</v>
      </c>
      <c r="E270" t="s">
        <v>189</v>
      </c>
    </row>
    <row r="271" spans="4:6" x14ac:dyDescent="0.3">
      <c r="D271" t="s">
        <v>61</v>
      </c>
      <c r="E271" s="15" t="s">
        <v>71</v>
      </c>
      <c r="F271" s="15">
        <f>'FUNCTIONAL_GROUP_2 Frontend'!AS18</f>
        <v>0</v>
      </c>
    </row>
    <row r="272" spans="4:6" x14ac:dyDescent="0.3">
      <c r="D272" t="s">
        <v>72</v>
      </c>
      <c r="E272" s="15" t="s">
        <v>78</v>
      </c>
    </row>
    <row r="273" spans="4:6" x14ac:dyDescent="0.3">
      <c r="D273" t="s">
        <v>60</v>
      </c>
      <c r="E273" s="15" t="s">
        <v>117</v>
      </c>
    </row>
    <row r="274" spans="4:6" x14ac:dyDescent="0.3">
      <c r="D274" t="s">
        <v>61</v>
      </c>
      <c r="E274" t="s">
        <v>189</v>
      </c>
    </row>
    <row r="275" spans="4:6" x14ac:dyDescent="0.3">
      <c r="D275" t="s">
        <v>61</v>
      </c>
      <c r="E275" s="15" t="s">
        <v>71</v>
      </c>
      <c r="F275" s="15">
        <f>'FUNCTIONAL_GROUP_2 Frontend'!AS14</f>
        <v>0</v>
      </c>
    </row>
    <row r="276" spans="4:6" x14ac:dyDescent="0.3">
      <c r="D276" t="s">
        <v>72</v>
      </c>
      <c r="E276" s="15" t="s">
        <v>78</v>
      </c>
    </row>
    <row r="277" spans="4:6" x14ac:dyDescent="0.3">
      <c r="D277" t="s">
        <v>60</v>
      </c>
      <c r="E277" t="s">
        <v>118</v>
      </c>
    </row>
    <row r="278" spans="4:6" x14ac:dyDescent="0.3">
      <c r="D278" t="s">
        <v>61</v>
      </c>
      <c r="E278" t="s">
        <v>188</v>
      </c>
    </row>
    <row r="279" spans="4:6" x14ac:dyDescent="0.3">
      <c r="D279" t="s">
        <v>61</v>
      </c>
      <c r="E279" s="15" t="s">
        <v>54</v>
      </c>
      <c r="F279" t="s">
        <v>82</v>
      </c>
    </row>
    <row r="280" spans="4:6" x14ac:dyDescent="0.3">
      <c r="D280" t="s">
        <v>72</v>
      </c>
      <c r="E280" s="15">
        <f>'FUNCTIONAL_GROUP_2 Frontend'!AT24</f>
        <v>0</v>
      </c>
    </row>
    <row r="281" spans="4:6" x14ac:dyDescent="0.3">
      <c r="D281" t="s">
        <v>60</v>
      </c>
      <c r="E281" s="15" t="s">
        <v>119</v>
      </c>
    </row>
    <row r="282" spans="4:6" x14ac:dyDescent="0.3">
      <c r="D282" t="s">
        <v>61</v>
      </c>
      <c r="E282" t="s">
        <v>188</v>
      </c>
    </row>
    <row r="283" spans="4:6" x14ac:dyDescent="0.3">
      <c r="D283" t="s">
        <v>61</v>
      </c>
      <c r="E283" s="15" t="s">
        <v>54</v>
      </c>
      <c r="F283" t="s">
        <v>82</v>
      </c>
    </row>
    <row r="284" spans="4:6" x14ac:dyDescent="0.3">
      <c r="D284" t="s">
        <v>72</v>
      </c>
      <c r="E284" s="15">
        <f>'FUNCTIONAL_GROUP_2 Frontend'!AT20</f>
        <v>0</v>
      </c>
    </row>
    <row r="285" spans="4:6" x14ac:dyDescent="0.3">
      <c r="D285" t="s">
        <v>60</v>
      </c>
      <c r="E285" s="15" t="s">
        <v>120</v>
      </c>
    </row>
    <row r="286" spans="4:6" x14ac:dyDescent="0.3">
      <c r="D286" t="s">
        <v>61</v>
      </c>
      <c r="E286" t="s">
        <v>188</v>
      </c>
    </row>
    <row r="287" spans="4:6" x14ac:dyDescent="0.3">
      <c r="D287" t="s">
        <v>61</v>
      </c>
      <c r="E287" s="15" t="s">
        <v>54</v>
      </c>
      <c r="F287" t="s">
        <v>82</v>
      </c>
    </row>
    <row r="288" spans="4:6" x14ac:dyDescent="0.3">
      <c r="D288" t="s">
        <v>72</v>
      </c>
      <c r="E288" s="15">
        <f>'FUNCTIONAL_GROUP_2 Frontend'!AT16</f>
        <v>0</v>
      </c>
    </row>
    <row r="289" spans="4:6" x14ac:dyDescent="0.3">
      <c r="D289" t="s">
        <v>60</v>
      </c>
      <c r="E289" s="15" t="s">
        <v>121</v>
      </c>
    </row>
    <row r="290" spans="4:6" x14ac:dyDescent="0.3">
      <c r="D290" t="s">
        <v>61</v>
      </c>
      <c r="E290" t="s">
        <v>188</v>
      </c>
    </row>
    <row r="291" spans="4:6" x14ac:dyDescent="0.3">
      <c r="D291" t="s">
        <v>61</v>
      </c>
      <c r="E291" s="15" t="s">
        <v>54</v>
      </c>
      <c r="F291" t="s">
        <v>82</v>
      </c>
    </row>
    <row r="292" spans="4:6" x14ac:dyDescent="0.3">
      <c r="D292" t="s">
        <v>72</v>
      </c>
      <c r="E292" s="15">
        <f>'FUNCTIONAL_GROUP_2 Frontend'!AT12</f>
        <v>0</v>
      </c>
    </row>
    <row r="293" spans="4:6" x14ac:dyDescent="0.3">
      <c r="D293" t="s">
        <v>60</v>
      </c>
      <c r="E293" t="s">
        <v>67</v>
      </c>
    </row>
    <row r="294" spans="4:6" x14ac:dyDescent="0.3">
      <c r="D294" t="s">
        <v>61</v>
      </c>
      <c r="E294" t="s">
        <v>189</v>
      </c>
    </row>
    <row r="295" spans="4:6" x14ac:dyDescent="0.3">
      <c r="D295" t="s">
        <v>61</v>
      </c>
      <c r="E295" s="15" t="s">
        <v>71</v>
      </c>
      <c r="F295" s="15">
        <f>'FUNCTIONAL_GROUP_2 Frontend'!AZ24</f>
        <v>0</v>
      </c>
    </row>
    <row r="296" spans="4:6" x14ac:dyDescent="0.3">
      <c r="D296" t="s">
        <v>72</v>
      </c>
      <c r="E296" s="15" t="s">
        <v>78</v>
      </c>
    </row>
    <row r="297" spans="4:6" x14ac:dyDescent="0.3">
      <c r="D297" t="s">
        <v>60</v>
      </c>
      <c r="E297" s="15" t="s">
        <v>68</v>
      </c>
    </row>
    <row r="298" spans="4:6" x14ac:dyDescent="0.3">
      <c r="D298" t="s">
        <v>61</v>
      </c>
      <c r="E298" t="s">
        <v>189</v>
      </c>
    </row>
    <row r="299" spans="4:6" x14ac:dyDescent="0.3">
      <c r="D299" t="s">
        <v>61</v>
      </c>
      <c r="E299" s="15" t="s">
        <v>71</v>
      </c>
      <c r="F299" s="15">
        <f>'FUNCTIONAL_GROUP_2 Frontend'!AZ20</f>
        <v>0</v>
      </c>
    </row>
    <row r="300" spans="4:6" x14ac:dyDescent="0.3">
      <c r="D300" t="s">
        <v>72</v>
      </c>
      <c r="E300" s="15" t="s">
        <v>78</v>
      </c>
    </row>
    <row r="301" spans="4:6" x14ac:dyDescent="0.3">
      <c r="D301" t="s">
        <v>60</v>
      </c>
      <c r="E301" s="15" t="s">
        <v>69</v>
      </c>
    </row>
    <row r="302" spans="4:6" x14ac:dyDescent="0.3">
      <c r="D302" t="s">
        <v>61</v>
      </c>
      <c r="E302" t="s">
        <v>189</v>
      </c>
    </row>
    <row r="303" spans="4:6" x14ac:dyDescent="0.3">
      <c r="D303" t="s">
        <v>61</v>
      </c>
      <c r="E303" s="15" t="s">
        <v>71</v>
      </c>
      <c r="F303" s="15">
        <f>'FUNCTIONAL_GROUP_2 Frontend'!AZ16</f>
        <v>0</v>
      </c>
    </row>
    <row r="304" spans="4:6" x14ac:dyDescent="0.3">
      <c r="D304" t="s">
        <v>72</v>
      </c>
      <c r="E304" s="15" t="s">
        <v>78</v>
      </c>
    </row>
    <row r="305" spans="4:6" x14ac:dyDescent="0.3">
      <c r="D305" t="s">
        <v>60</v>
      </c>
      <c r="E305" s="15" t="s">
        <v>70</v>
      </c>
    </row>
    <row r="306" spans="4:6" x14ac:dyDescent="0.3">
      <c r="D306" t="s">
        <v>61</v>
      </c>
      <c r="E306" t="s">
        <v>189</v>
      </c>
    </row>
    <row r="307" spans="4:6" x14ac:dyDescent="0.3">
      <c r="D307" t="s">
        <v>61</v>
      </c>
      <c r="E307" s="15" t="s">
        <v>71</v>
      </c>
      <c r="F307" s="15">
        <f>'FUNCTIONAL_GROUP_2 Frontend'!AZ12</f>
        <v>0</v>
      </c>
    </row>
    <row r="308" spans="4:6" x14ac:dyDescent="0.3">
      <c r="D308" t="s">
        <v>72</v>
      </c>
      <c r="E308" s="15" t="s">
        <v>78</v>
      </c>
      <c r="F308" s="15"/>
    </row>
    <row r="309" spans="4:6" x14ac:dyDescent="0.3">
      <c r="D309" t="s">
        <v>60</v>
      </c>
      <c r="E309" s="15" t="s">
        <v>122</v>
      </c>
      <c r="F309" s="15"/>
    </row>
    <row r="310" spans="4:6" x14ac:dyDescent="0.3">
      <c r="D310" t="s">
        <v>61</v>
      </c>
      <c r="E310" t="s">
        <v>188</v>
      </c>
      <c r="F310" s="15"/>
    </row>
    <row r="311" spans="4:6" x14ac:dyDescent="0.3">
      <c r="D311" t="s">
        <v>61</v>
      </c>
      <c r="E311" s="15" t="s">
        <v>123</v>
      </c>
      <c r="F311" s="15" t="s">
        <v>26</v>
      </c>
    </row>
    <row r="312" spans="4:6" x14ac:dyDescent="0.3">
      <c r="D312" t="s">
        <v>72</v>
      </c>
      <c r="E312" s="15" t="s">
        <v>124</v>
      </c>
      <c r="F312" s="15"/>
    </row>
  </sheetData>
  <mergeCells count="1">
    <mergeCell ref="M21:N25"/>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6F586-9B21-4297-8D29-E10324F4E165}">
  <sheetPr codeName="Tabelle5"/>
  <dimension ref="E4:H10"/>
  <sheetViews>
    <sheetView workbookViewId="0">
      <selection activeCell="H8" sqref="H8:H10"/>
    </sheetView>
  </sheetViews>
  <sheetFormatPr baseColWidth="10" defaultRowHeight="14.4" x14ac:dyDescent="0.3"/>
  <cols>
    <col min="6" max="6" width="11.44140625" customWidth="1"/>
  </cols>
  <sheetData>
    <row r="4" spans="5:8" ht="24" customHeight="1" x14ac:dyDescent="0.3"/>
    <row r="5" spans="5:8" ht="24" customHeight="1" x14ac:dyDescent="0.3"/>
    <row r="8" spans="5:8" x14ac:dyDescent="0.3">
      <c r="E8" t="s">
        <v>27</v>
      </c>
      <c r="F8" t="s">
        <v>29</v>
      </c>
      <c r="G8" t="s">
        <v>31</v>
      </c>
      <c r="H8" t="s">
        <v>55</v>
      </c>
    </row>
    <row r="9" spans="5:8" x14ac:dyDescent="0.3">
      <c r="E9" t="s">
        <v>28</v>
      </c>
      <c r="F9" t="s">
        <v>30</v>
      </c>
      <c r="G9" t="s">
        <v>32</v>
      </c>
      <c r="H9" t="s">
        <v>56</v>
      </c>
    </row>
    <row r="10" spans="5:8" x14ac:dyDescent="0.3">
      <c r="H10" t="s">
        <v>57</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FE4B3-99C9-4BCE-9DEA-9142D5CBDCD0}">
  <sheetPr codeName="Tabelle7"/>
  <dimension ref="D7:E10"/>
  <sheetViews>
    <sheetView workbookViewId="0">
      <selection activeCell="D11" sqref="D11"/>
    </sheetView>
  </sheetViews>
  <sheetFormatPr baseColWidth="10" defaultRowHeight="14.4" x14ac:dyDescent="0.3"/>
  <sheetData>
    <row r="7" spans="4:5" x14ac:dyDescent="0.3">
      <c r="D7" t="s">
        <v>33</v>
      </c>
      <c r="E7" t="s">
        <v>26</v>
      </c>
    </row>
    <row r="8" spans="4:5" x14ac:dyDescent="0.3">
      <c r="D8" t="s">
        <v>34</v>
      </c>
    </row>
    <row r="9" spans="4:5" x14ac:dyDescent="0.3">
      <c r="D9" t="s">
        <v>35</v>
      </c>
    </row>
    <row r="10" spans="4:5" x14ac:dyDescent="0.3">
      <c r="D10" t="s">
        <v>36</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10C57-39D5-4EF3-8DB3-65AAF3BC0B0C}">
  <sheetPr codeName="Tabelle9"/>
  <dimension ref="C5:E26"/>
  <sheetViews>
    <sheetView topLeftCell="A15" zoomScaleNormal="100" workbookViewId="0">
      <selection activeCell="C16" sqref="C16:D16"/>
    </sheetView>
  </sheetViews>
  <sheetFormatPr baseColWidth="10" defaultRowHeight="14.4" x14ac:dyDescent="0.3"/>
  <cols>
    <col min="3" max="3" width="24.77734375" style="2" customWidth="1"/>
    <col min="4" max="4" width="23.44140625" style="2" customWidth="1"/>
    <col min="5" max="5" width="53.5546875" style="3" customWidth="1"/>
  </cols>
  <sheetData>
    <row r="5" spans="3:5" ht="43.2" customHeight="1" x14ac:dyDescent="0.3">
      <c r="C5" s="44" t="s">
        <v>0</v>
      </c>
      <c r="D5" s="44"/>
      <c r="E5" s="44"/>
    </row>
    <row r="7" spans="3:5" ht="28.8" x14ac:dyDescent="0.3">
      <c r="C7" s="2" t="s">
        <v>4</v>
      </c>
    </row>
    <row r="8" spans="3:5" ht="115.8" customHeight="1" x14ac:dyDescent="0.3">
      <c r="C8" s="45" t="s">
        <v>5</v>
      </c>
      <c r="D8" s="45"/>
      <c r="E8" s="2" t="s">
        <v>6</v>
      </c>
    </row>
    <row r="9" spans="3:5" ht="28.8" customHeight="1" x14ac:dyDescent="0.3">
      <c r="C9" s="48" t="s">
        <v>1</v>
      </c>
      <c r="D9" s="48"/>
      <c r="E9" s="48"/>
    </row>
    <row r="11" spans="3:5" ht="23.4" x14ac:dyDescent="0.3">
      <c r="C11" s="4" t="s">
        <v>2</v>
      </c>
      <c r="E11" s="5" t="s">
        <v>3</v>
      </c>
    </row>
    <row r="12" spans="3:5" ht="55.8" customHeight="1" x14ac:dyDescent="0.3">
      <c r="C12" s="46" t="s">
        <v>7</v>
      </c>
      <c r="D12" s="46"/>
      <c r="E12" s="6" t="s">
        <v>8</v>
      </c>
    </row>
    <row r="13" spans="3:5" ht="18" x14ac:dyDescent="0.3">
      <c r="C13" s="47" t="s">
        <v>15</v>
      </c>
      <c r="D13" s="47"/>
      <c r="E13" s="7" t="s">
        <v>18</v>
      </c>
    </row>
    <row r="14" spans="3:5" ht="50.4" customHeight="1" x14ac:dyDescent="0.3">
      <c r="C14" s="45" t="s">
        <v>9</v>
      </c>
      <c r="D14" s="45"/>
      <c r="E14" s="2" t="s">
        <v>19</v>
      </c>
    </row>
    <row r="15" spans="3:5" ht="76.8" customHeight="1" x14ac:dyDescent="0.3">
      <c r="C15" s="45" t="s">
        <v>171</v>
      </c>
      <c r="D15" s="45"/>
      <c r="E15" s="2" t="s">
        <v>20</v>
      </c>
    </row>
    <row r="16" spans="3:5" ht="61.2" customHeight="1" x14ac:dyDescent="0.3">
      <c r="C16" s="45" t="s">
        <v>12</v>
      </c>
      <c r="D16" s="45"/>
      <c r="E16" s="2" t="s">
        <v>21</v>
      </c>
    </row>
    <row r="17" spans="3:4" ht="46.8" customHeight="1" x14ac:dyDescent="0.3">
      <c r="C17" s="45" t="s">
        <v>13</v>
      </c>
      <c r="D17" s="45"/>
    </row>
    <row r="18" spans="3:4" ht="61.2" customHeight="1" x14ac:dyDescent="0.3">
      <c r="C18" s="45" t="s">
        <v>14</v>
      </c>
      <c r="D18" s="45"/>
    </row>
    <row r="19" spans="3:4" ht="64.8" customHeight="1" x14ac:dyDescent="0.3">
      <c r="C19" s="45" t="s">
        <v>16</v>
      </c>
      <c r="D19" s="45"/>
    </row>
    <row r="20" spans="3:4" ht="61.8" customHeight="1" x14ac:dyDescent="0.3">
      <c r="C20" s="45" t="s">
        <v>17</v>
      </c>
      <c r="D20" s="45"/>
    </row>
    <row r="21" spans="3:4" x14ac:dyDescent="0.3">
      <c r="C21" s="45"/>
      <c r="D21" s="45"/>
    </row>
    <row r="22" spans="3:4" x14ac:dyDescent="0.3">
      <c r="C22" s="45"/>
      <c r="D22" s="45"/>
    </row>
    <row r="23" spans="3:4" x14ac:dyDescent="0.3">
      <c r="C23" s="45"/>
      <c r="D23" s="45"/>
    </row>
    <row r="24" spans="3:4" x14ac:dyDescent="0.3">
      <c r="C24" s="45"/>
      <c r="D24" s="45"/>
    </row>
    <row r="26" spans="3:4" x14ac:dyDescent="0.3">
      <c r="C26" s="45"/>
      <c r="D26" s="45"/>
    </row>
  </sheetData>
  <mergeCells count="17">
    <mergeCell ref="C26:D26"/>
    <mergeCell ref="C15:D15"/>
    <mergeCell ref="C16:D16"/>
    <mergeCell ref="C17:D17"/>
    <mergeCell ref="C18:D18"/>
    <mergeCell ref="C19:D19"/>
    <mergeCell ref="C20:D20"/>
    <mergeCell ref="C5:E5"/>
    <mergeCell ref="C21:D21"/>
    <mergeCell ref="C22:D22"/>
    <mergeCell ref="C23:D23"/>
    <mergeCell ref="C24:D24"/>
    <mergeCell ref="C8:D8"/>
    <mergeCell ref="C12:D12"/>
    <mergeCell ref="C13:D13"/>
    <mergeCell ref="C14:D14"/>
    <mergeCell ref="C9:E9"/>
  </mergeCells>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Run</vt:lpstr>
      <vt:lpstr>FUNCTIONAL_GROUP_1 Frontend</vt:lpstr>
      <vt:lpstr>FUNCTIONAL_GROUP_2 Frontend</vt:lpstr>
      <vt:lpstr>Item Positions</vt:lpstr>
      <vt:lpstr>json_prep</vt:lpstr>
      <vt:lpstr>FUNCTIONAL_GROUP_1 Backend</vt:lpstr>
      <vt:lpstr>FUNCTIONAL_GROUP_2 Backend</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Quirin Fuchs</dc:creator>
  <cp:lastModifiedBy>Quirin Fuchs</cp:lastModifiedBy>
  <dcterms:created xsi:type="dcterms:W3CDTF">2025-07-29T06:12:40Z</dcterms:created>
  <dcterms:modified xsi:type="dcterms:W3CDTF">2025-08-14T08:12:22Z</dcterms:modified>
</cp:coreProperties>
</file>